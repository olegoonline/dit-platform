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ams" sheetId="1" r:id="rId4"/>
    <sheet state="visible" name="Packages" sheetId="2" r:id="rId5"/>
    <sheet state="visible" name="Accommodation" sheetId="3" r:id="rId6"/>
    <sheet state="visible" name="Services" sheetId="4" r:id="rId7"/>
    <sheet state="visible" name="Price Matrix" sheetId="5" r:id="rId8"/>
    <sheet state="visible" name="Supabase Schema" sheetId="6" r:id="rId9"/>
  </sheets>
  <definedNames/>
  <calcPr/>
  <extLst>
    <ext uri="GoogleSheetsCustomDataVersion2">
      <go:sheetsCustomData xmlns:go="http://customooxmlschemas.google.com/" r:id="rId10" roundtripDataChecksum="RKUJ/Jl8tXkw29G+epN2NlfKJirCYHnvbeLcybnKbgo="/>
    </ext>
  </extLst>
</workbook>
</file>

<file path=xl/sharedStrings.xml><?xml version="1.0" encoding="utf-8"?>
<sst xmlns="http://schemas.openxmlformats.org/spreadsheetml/2006/main" count="1322" uniqueCount="838">
  <si>
    <t>DREAM ISLANDS TRAVEL × TANYA SAMUI — PROGRAM DATASET v1.0 · All cohorts · 6/8/11 day variants · 2026</t>
  </si>
  <si>
    <t>program_id</t>
  </si>
  <si>
    <t>program_name_en</t>
  </si>
  <si>
    <t>program_name_ru</t>
  </si>
  <si>
    <t>wbs_cohort</t>
  </si>
  <si>
    <t>wbs_code</t>
  </si>
  <si>
    <t>category</t>
  </si>
  <si>
    <t>access</t>
  </si>
  <si>
    <t>duration_days</t>
  </si>
  <si>
    <t>duration_nights</t>
  </si>
  <si>
    <t>days_label</t>
  </si>
  <si>
    <t>target_guest_en</t>
  </si>
  <si>
    <t>target_guest_ru</t>
  </si>
  <si>
    <t>markets</t>
  </si>
  <si>
    <t>goal_en</t>
  </si>
  <si>
    <t>goal_ru</t>
  </si>
  <si>
    <t>how_we_achieve_en</t>
  </si>
  <si>
    <t>how_we_achieve_ru</t>
  </si>
  <si>
    <t>guest_feels_en</t>
  </si>
  <si>
    <t>guest_feels_ru</t>
  </si>
  <si>
    <t>included_services_en</t>
  </si>
  <si>
    <t>key_outcomes_en</t>
  </si>
  <si>
    <t>contraindications</t>
  </si>
  <si>
    <t>price_basic_thb</t>
  </si>
  <si>
    <t>price_vip_thb</t>
  </si>
  <si>
    <t>price_basic_usd_approx</t>
  </si>
  <si>
    <t>price_vip_usd_approx</t>
  </si>
  <si>
    <t>dit_commission_basic</t>
  </si>
  <si>
    <t>dit_commission_vip</t>
  </si>
  <si>
    <t>base_package_nights</t>
  </si>
  <si>
    <t>base_rate_per_night</t>
  </si>
  <si>
    <t>base_total</t>
  </si>
  <si>
    <t>cohort_services_cost_basic</t>
  </si>
  <si>
    <t>cohort_services_cost_vip_addon</t>
  </si>
  <si>
    <t>solo_supplement</t>
  </si>
  <si>
    <t>package_note</t>
  </si>
  <si>
    <t>upsell_1</t>
  </si>
  <si>
    <t>upsell_2</t>
  </si>
  <si>
    <t>upsell_3</t>
  </si>
  <si>
    <t>wbs_score_range</t>
  </si>
  <si>
    <t>trigger_phrases_en</t>
  </si>
  <si>
    <t>before_script_en</t>
  </si>
  <si>
    <t>during_script_en</t>
  </si>
  <si>
    <t>after_script_en</t>
  </si>
  <si>
    <t>status</t>
  </si>
  <si>
    <t>sort_order</t>
  </si>
  <si>
    <t>RESET-01-6D</t>
  </si>
  <si>
    <t>Detox Reset — 6 Days</t>
  </si>
  <si>
    <t>Детокс Ресет — 6 дней</t>
  </si>
  <si>
    <t>Reset</t>
  </si>
  <si>
    <t>RESET-01</t>
  </si>
  <si>
    <t>Reset &amp; Recovery</t>
  </si>
  <si>
    <t>Public</t>
  </si>
  <si>
    <t>6D / 5N</t>
  </si>
  <si>
    <t>Executives, burnout recovery, post-illness, first-time detox guests</t>
  </si>
  <si>
    <t>Руководители, выгорание, восстановление после болезни, первый детокс</t>
  </si>
  <si>
    <t>RU · SG · HK</t>
  </si>
  <si>
    <t>Cleanse liver and digestive tract, restore baseline energy, first measurable shift in blood markers</t>
  </si>
  <si>
    <t>Очистить печень и ЖКТ, восстановить базовую энергию, первый сдвиг в анализах крови</t>
  </si>
  <si>
    <t>Oil protocol triggers bile release and liver toxin flush. 2x lymphatic drainage mobilises and removes toxins via lymph. 1x chiropractic removes spinal blocks slowing detox. 2x IV drips replenish deficiencies fast. Blood panel D1 vs final gives objective proof.</t>
  </si>
  <si>
    <t>Масляный протокол запускает желчеотделение и выброс токсинов. Лимфодренаж ×2 выводит их через лимфосистему. Хиропрактика ×1 снимает блоки. IV капельницы ×2 восполняют дефициты. Сравнение анализов D1 vs финал — объективный результат.</t>
  </si>
  <si>
    <t>Fatigue days 2–3 (normal detox response). Energy shift by day 4. Lightness and clearer skin by day 5–6.</t>
  </si>
  <si>
    <t>Усталость дни 2–3 (нормальная реакция). Сдвиг энергии к дню 4. Лёгкость и чистота кожи к дню 5–6.</t>
  </si>
  <si>
    <t>Oil protocol daily (5 days) | Lymphatic drainage ×2 | Chiropractic ×1 | Thai herbal compress ×2 | IV vitamin drip ×2 | Blood panel D1 + final | Program materials | Teacher Khun Kob sessions</t>
  </si>
  <si>
    <t>Blood comparison D1 vs D5. Energy restoration. Digestive reset. First liver cleanse cycle.</t>
  </si>
  <si>
    <t>Pregnancy · Active cancer (escalate to Mark) · BP &gt;180/120 (medical clearance required)</t>
  </si>
  <si>
    <t>VIP includes: doctor, blood analysis Dr.Pongsak, private transfers, massage q3days, yoga, meditation, Samui tour, pre/during/after support</t>
  </si>
  <si>
    <t>IV Vitamin Drip +1 (฿3,200)</t>
  </si>
  <si>
    <t>Signature Detox Massage (฿3,500)</t>
  </si>
  <si>
    <t>Facial Detox (฿3,200)</t>
  </si>
  <si>
    <t>20–55</t>
  </si>
  <si>
    <t>liver · tired · detox · low energy · cholesterol · blood test · clean my body · heavy · sluggish · bloated</t>
  </si>
  <si>
    <t>Reduce alcohol, red meat, fried food 3 days before. Increase hydration to 2.5L/day. Reduce caffeine gradually. Light walking only — do NOT fast. Tell us: liver? energy? weight?</t>
  </si>
  <si>
    <t>Oil session daily (dosage: &lt;55kg=150ml · 55-70kg=200ml · &gt;70kg=250ml). Enema 1x morning. Lotus Lake walk. 2L water minimum. 1 coffee permitted 10:00–14:00.</t>
  </si>
  <si>
    <t>Weeks 1–2: soft foods only — rice porridge, vegetable soup, steamed veg, fruit. No red meat, no alcohol. 2L water daily. Day 30: repeat blood test and WhatsApp Mark.</t>
  </si>
  <si>
    <t>active</t>
  </si>
  <si>
    <t>RESET-01-8D</t>
  </si>
  <si>
    <t>Detox Reset — 8 Days</t>
  </si>
  <si>
    <t>Детокс Ресет — 8 дней</t>
  </si>
  <si>
    <t>8D / 7N</t>
  </si>
  <si>
    <t>Standard detox guest — most common booking. Executives, burnout, post-illness recovery.</t>
  </si>
  <si>
    <t>Стандартный детокс-гость. Руководители, выгорание, восстановление после болезни.</t>
  </si>
  <si>
    <t>Full liver and GI cleanse with measurable bloodwork improvement. Sustained energy shift.</t>
  </si>
  <si>
    <t>Полная очистка печени и ЖКТ с измеримым улучшением анализов. Устойчивый сдвиг энергии.</t>
  </si>
  <si>
    <t>Oil protocol triggers bile and toxin flush. 3x lymphatic drainage completes toxin removal. 2x chiropractic clears spinal energy blocks. 3x herbal compress supports tissue detox. 3x IV drips with vitamins. Full blood panel + ultrasound D1 vs final. 30-day home protocol ensures results hold.</t>
  </si>
  <si>
    <t>Масляный протокол × 7 дней. Лимфодренаж ×3. Хиропрактика ×2. Травяной компресс ×3. IV капельницы ×3. Анализы + УЗИ D1 vs финал. 30-дневный домашний протокол.</t>
  </si>
  <si>
    <t>Fatigue days 2–3 (normal). Clear energy shift by day 4. Lightness and skin clarity by day 6. Measurable bloodwork change on departure.</t>
  </si>
  <si>
    <t>Усталость дни 2–3 (норма). Сдвиг энергии к дню 4. Лёгкость к дню 6. Изменение анализов на выходе.</t>
  </si>
  <si>
    <t>Oil protocol daily (7 days) | Lymphatic drainage ×3 | Chiropractic ×2 | Thai herbal compress ×3 | IV vitamin drip ×3 | Blood panel + ultrasound D1 + final | Yoga nidra + breathwork daily | 30-day home protocol | Teacher Khun Kob sessions</t>
  </si>
  <si>
    <t>Day 1 vs Day 7 bloodwork comparison on departure. Energy restoration. Full liver cleanse cycle. 30-day protocol for continued results at home.</t>
  </si>
  <si>
    <t>Pregnancy · Active cancer (escalate to Mark) · BP &gt;180/120</t>
  </si>
  <si>
    <t>8D/7N is the standard recommended program — best results per cost ratio</t>
  </si>
  <si>
    <t>TCM Acupuncture ×1 (฿3,500)</t>
  </si>
  <si>
    <t>liver · tired · detox · low energy · cholesterol · blood test · clean my body · heavy · sluggish</t>
  </si>
  <si>
    <t>Begin reducing alcohol, red meat, fried food 3 days before. 2.5L water daily. Reduce caffeine to zero by Day -1. Light yoga/walking only. Tell us: liver? energy? weight?</t>
  </si>
  <si>
    <t>Oil session daily. Enema 1x morning. Lotus Lake walk. 2L water min. 1 coffee 10:00–14:00 only. Treatments as scheduled: chiro, lymphatic, herbal compress, IV ×3.</t>
  </si>
  <si>
    <t>Weeks 1–2: soft foods. No red meat, no alcohol. 2L water daily. Weeks 3–4: gradually reintroduce chicken, fish, eggs. Day 30: blood test at local clinic, WhatsApp Mark with results.</t>
  </si>
  <si>
    <t>RESET-01-11D</t>
  </si>
  <si>
    <t>Detox Reset — 11 Days</t>
  </si>
  <si>
    <t>Детокс Ресет — 11 дней</t>
  </si>
  <si>
    <t>11D / 10N</t>
  </si>
  <si>
    <t>Serious detox request. Chronic conditions, significant liver load, high stress over long period. WBS 0–45.</t>
  </si>
  <si>
    <t>Серьёзный запрос на детокс. Хронические состояния, высокая нагрузка на печень, длительный стресс.</t>
  </si>
  <si>
    <t>RU · SG · HK · EU</t>
  </si>
  <si>
    <t>Deep multi-system detox. Full liver regeneration cycle. Measurable improvement across all blood markers. Structural reset.</t>
  </si>
  <si>
    <t>Глубокий детокс нескольких систем. Полный цикл регенерации печени. Измеримое улучшение всех биомаркеров.</t>
  </si>
  <si>
    <t>3 full oil cycles (each 3 days). 4x lymphatic drainage ensures full toxin clearance across all cycles. 3x chiropractic addresses accumulated structural blocks. 4x IV drips. TCM acupuncture ×2 supports liver and metabolic function. 3-point bloodwork tracking (D1, mid, final) shows real-time progress. 30-day protocol + follow-up.</t>
  </si>
  <si>
    <t>3 полных масляных цикла. Лимфодренаж ×4. Хиропрактика ×3. IV ×4. ТКМ иглоукалывание ×2 поддерживает печень. Анализы в 3 точках (D1, mid, финал). 30-дневный протокол + follow-up.</t>
  </si>
  <si>
    <t>Intensive cleanse. Days 3–5 most intense. Significant energy shift by day 7. Clear measurable improvement on departure. Often described as transformative.</t>
  </si>
  <si>
    <t>Интенсивное очищение. Дни 3–5 самые интенсивные. Значительный сдвиг энергии к дню 7. Чёткое измеримое улучшение на выходе.</t>
  </si>
  <si>
    <t>Oil protocol daily (10 days) | Lymphatic drainage ×4 | Chiropractic ×3 | Thai herbal compress ×4 | IV vitamin drip ×4 | Blood panel + ultrasound ×3 (D1, mid, final) | TCM/Acupuncture ×2 | Yoga nidra + breathwork daily | 30-day home protocol + follow-up call</t>
  </si>
  <si>
    <t>3-point bloodwork comparison. Full liver regeneration cycle. Structural spinal reset. 30-day protocol + follow-up.</t>
  </si>
  <si>
    <t>Pregnancy · Active cancer · BP &gt;180/120 · Serious chronic illness → escalate to Mark</t>
  </si>
  <si>
    <t>Minimum VIP recommended for 11D. Escalate to Mark if WBS &lt;20.</t>
  </si>
  <si>
    <t>Additional TCM session (฿3,500)</t>
  </si>
  <si>
    <t>Rejuran skin booster (฿9,900)</t>
  </si>
  <si>
    <t>Signature Detox Massage ×2 (฿7,000)</t>
  </si>
  <si>
    <t>0–45</t>
  </si>
  <si>
    <t>very tired · can't function · chronic fatigue · liver damage · alcohol · years of stress · need deep cleanse</t>
  </si>
  <si>
    <t>WBS 0–39: Stop alcohol completely 5 days before. Share all medications and blood test results. No fasting before arrival — save it for supervised protocol. Light walking only.</t>
  </si>
  <si>
    <t>Oil session daily. Enema 1x morning. Lotus Lake walk. 2L water. All treatments as scheduled. Day 5 mid-programme check-in with Mark.</t>
  </si>
  <si>
    <t>Strict soft food protocol weeks 1–2. No alcohol minimum 3 weeks. Day 30 blood test mandatory — send results to Mark. Consider Advanced Detox (RESET-02) as next programme.</t>
  </si>
  <si>
    <t>RESET-05-6D</t>
  </si>
  <si>
    <t>Sleep &amp; NS Reset — 6 Days</t>
  </si>
  <si>
    <t>Сон и НС Ресет — 6 дней</t>
  </si>
  <si>
    <t>Mind</t>
  </si>
  <si>
    <t>RESET-05</t>
  </si>
  <si>
    <t>Burnout, acute stress, sleep disruption, first mind reset visit</t>
  </si>
  <si>
    <t>Выгорание, острый стресс, нарушение сна, первый визит на перезагрузку разума</t>
  </si>
  <si>
    <t>All markets</t>
  </si>
  <si>
    <t>Break acute stress cycle, restore sleep architecture, first nervous system reset</t>
  </si>
  <si>
    <t>Прервать острый цикл стресса, восстановить архитектуру сна, первый ресет нервной системы</t>
  </si>
  <si>
    <t>Sound healing ×2 with crystal bowls shifts brainwaves to theta/delta — direct nervous system downregulation. Theta healing ×1 removes subconscious stress programs. Emotion code ×1 releases trapped emotional energy that keeps NS in fight-or-flight. Daily Lotus Lake walk and digital detox give the NS time to recover without stimulation.</t>
  </si>
  <si>
    <t>Звуковая терапия ×2 переводит мозг в тета/дельта — прямая регуляция НС. Тета-хилинг ×1 убирает стрессовые программы. Emotion code ×1 снимает застрявшую эмоциональную энергию. Ежедневные прогулки у Lotus Lake и цифровой детокс дают НС время восстановиться.</t>
  </si>
  <si>
    <t>Emotional release days 1–2 (normal). First deep sleep by night 3 for most guests. Mental clarity by day 5.</t>
  </si>
  <si>
    <t>Эмоциональный выброс дни 1–2 (норма). Первый глубокий сон к ночи 3. Ясность мышления к дню 5.</t>
  </si>
  <si>
    <t>Sound healing ×2 | Theta healing ×1 | Reiki ×1 | Emotion code ×1 | Mindfulness daily | Life purpose session ×1 | Lotus Lake dawn walk daily</t>
  </si>
  <si>
    <t>Sleep quality improvement. Acute stress reduction. Introduction to NS reset practices.</t>
  </si>
  <si>
    <t>Severe psychiatric conditions — consult Mark. Active psychosis — not suitable.</t>
  </si>
  <si>
    <t>Lotus Lake Zone room strongly recommended. No alarm calls.</t>
  </si>
  <si>
    <t>Crystal healing add-on (฿3,500)</t>
  </si>
  <si>
    <t>Aromatherapy massage (฿2,000)</t>
  </si>
  <si>
    <t>Detox bath ritual (฿900)</t>
  </si>
  <si>
    <t>15–50</t>
  </si>
  <si>
    <t>can't sleep · stress · anxious · burnout · exhausted mind · overwhelmed · panic · can't switch off</t>
  </si>
  <si>
    <t>Stop all stimulants now: caffeine, sugar spikes, news/social media doomscrolling. No alcohol 5 days before. Screen curfew: no phone 1 hour before sleep starting today. Box breathing 4-4-4-4 before bed.</t>
  </si>
  <si>
    <t>Lotus Lake dawn walk 6:00–7:00. 10 min silent observation — no phone. No social media or work email. Phone on silent — check only 2x per day. Bed by 21:30. Cool dark room.</t>
  </si>
  <si>
    <t>Protect morning: no phone for 30 min after waking. Continue Lotus Lake practice at home. Journal 5 min before bed. Same bedtime every night. No caffeine after 14:00.</t>
  </si>
  <si>
    <t>RESET-05-8D</t>
  </si>
  <si>
    <t>Sleep &amp; NS Reset — 8 Days</t>
  </si>
  <si>
    <t>Сон и НС Ресет — 8 дней</t>
  </si>
  <si>
    <t>Burnout, chronic anxiety, life transitions, stress-related insomnia, all markets</t>
  </si>
  <si>
    <t>Выгорание, хроническая тревога, жизненные переходы, стрессовая бессонница, все рынки</t>
  </si>
  <si>
    <t>Restore sleep quality, reduce chronic stress, reprogram nervous system response patterns</t>
  </si>
  <si>
    <t>Восстановить качество сна, снизить хронический стресс, перепрограммировать паттерны нервной системы</t>
  </si>
  <si>
    <t>Sound healing ×3 with crystal singing bowls shifts brainwaves to theta/delta state — direct NS downregulation. Theta healing ×2 (THINK certified) removes subconscious belief structures keeping NS in fight-or-flight. Reiki ×2 clears energy field. Chakra balancing + crystal healing address energetic blocks. Emotion code ×2 releases trapped emotions. Daily mindfulness and Lotus Lake walk build new NS baseline. Life purpose session provides direction that reduces existential anxiety.</t>
  </si>
  <si>
    <t>Звуковая терапия ×3. Тета-хилинг ×2 (THINK серт.). Рейки ×2. Балансировка чакр + кристаллотерапия. Emotion code ×2. Ежедневный mindfulness и прогулки у Lotus Lake. Сессия жизненного предназначения.</t>
  </si>
  <si>
    <t>Emotional release days 1–2 (normal and welcome). Deep sleep by night 3 for most guests. Emotional clarity by day 5. New baseline by day 7.</t>
  </si>
  <si>
    <t>Эмоциональный выброс дни 1–2 (норма и приветствуется). Глубокий сон к ночи 3. Эмоциональная ясность к дню 5. Новая базовая линия к дню 7.</t>
  </si>
  <si>
    <t>Sound healing ×3 (crystal bowls) | Theta healing ×2 (THINK certified) | Reiki ×2 | Chakra balancing | Crystal healing | Emotion code therapy ×2 | Creating a life of purpose session | Mindfulness daily | Thai herbal compress | Lotus Lake dawn walk daily</t>
  </si>
  <si>
    <t>Sleep architecture restored. Stress triggers identified and addressed. Subconscious patterns cleared. New daily practice established.</t>
  </si>
  <si>
    <t>Severe psychiatric conditions — consult Mark. Active psychosis.</t>
  </si>
  <si>
    <t>Most content-rich program in portfolio per night. Lotus Lake Zone room priority. Inform Theta practitioner of severity.</t>
  </si>
  <si>
    <t>Cutting the Ties (฿4,500)</t>
  </si>
  <si>
    <t>Tarot/Oracle reading (฿3,500)</t>
  </si>
  <si>
    <t>Bath ritual Serenity (฿900)</t>
  </si>
  <si>
    <t>burnout · can't sleep · anxiety · stress · overwhelmed · life change · divorce · work pressure · insomnia · panic attacks</t>
  </si>
  <si>
    <t>Stop all stimulants now. No alcohol 5 days before. Screen curfew 1 hour before sleep. Box breathing 4-4-4-4 before bed. Share honestly: anxiety level, relationship stressors, workload. Prepare to be open with practitioners.</t>
  </si>
  <si>
    <t>Lotus Lake dawn walk 6:00–7:00. No social media, no news, no work email. Phone silent — check 2x daily only (11:00 and 17:00). Bed by 21:30. Crying is welcome — emotional release is part of the process.</t>
  </si>
  <si>
    <t>No phone for 30 min after waking. Lotus Lake practice at home: 10 min silent morning walk. Journal 5 min before bed. Same bedtime ±30 min every night. No caffeine after 14:00. Monthly digital silence day. Day 30 WA Mark: how is sleep? energy? inner state?</t>
  </si>
  <si>
    <t>RESET-05-11D</t>
  </si>
  <si>
    <t>Sleep &amp; NS Reset — 11 Days</t>
  </si>
  <si>
    <t>Сон и НС Ресет — 11 дней</t>
  </si>
  <si>
    <t>Severe burnout, chronic PTSD patterns, long-term insomnia, deep trauma work</t>
  </si>
  <si>
    <t>Тяжёлое выгорание, хронические ПТСР-паттерны, длительная бессонница, глубокая работа с травмой</t>
  </si>
  <si>
    <t>All markets · RU · EU</t>
  </si>
  <si>
    <t>Complete nervous system reprogramming. Clear deep trauma patterns. Establish new life direction.</t>
  </si>
  <si>
    <t>Полное перепрограммирование нервной системы. Устранение глубоких травматических паттернов. Новое жизненное направление.</t>
  </si>
  <si>
    <t>4 sound healing sessions create progressive NS entrainment over 10 days. 3x theta healing (THINK certified) does deep subconscious belief work — session 3 integrates previous two. 3x reiki. Full chakra + crystal protocol ×2. 3x emotion code. Cutting the Ties ×1 addresses deepest attachments. 2x life purpose sessions build new direction. Full digital detox protocol.</t>
  </si>
  <si>
    <t>4 сессии звуковой терапии. Тета-хилинг ×3. Рейки ×3. Полный чакра + кристальный протокол ×2. Emotion code ×3. Cutting the Ties ×1. Сессии жизненного предназначения ×2. Полный цифровой детокс.</t>
  </si>
  <si>
    <t>Sound healing ×4 | Theta healing ×3 (THINK certified) | Reiki ×3 | Chakra balancing ×2 | Crystal healing ×2 | Emotion code ×3 | Cutting the Ties ×1 | Creating a life of purpose ×2 | Mindfulness daily | Lotus Lake dawn walk daily</t>
  </si>
  <si>
    <t>Deep subconscious pattern clearing. Trauma release. New life direction established. NS fully reset. 30-day integration protocol.</t>
  </si>
  <si>
    <t>Active psychosis — not suitable. Severe psychiatric medication — consult Mark first.</t>
  </si>
  <si>
    <t>VIP strongly recommended. Lotus Lake Zone room priority. 11D is transformative — not suitable for guests seeking quick fix.</t>
  </si>
  <si>
    <t>Spiritual counselling extra (฿3,500)</t>
  </si>
  <si>
    <t>TCM session (฿3,500)</t>
  </si>
  <si>
    <t>0–35</t>
  </si>
  <si>
    <t>years of stress · trauma · can't function · breakdown · extreme burnout · chronic insomnia · major life crisis</t>
  </si>
  <si>
    <t>Assign Lotus Lake room priority. No alarm calls. Inform Theta practitioner of severity before arrival. Stop all stimulants. No alcohol 5 days before.</t>
  </si>
  <si>
    <t>Full digital detox protocol. No work during programme. Lotus Lake walk daily. Practitioners briefed on history. Mid-programme check D5.</t>
  </si>
  <si>
    <t>30-day integration protocol. Weekly practice minimum. Monthly digital silence day. D30 and D90 WA check-in with Mark. Consider Longstay Membership for sustained results.</t>
  </si>
  <si>
    <t>BEAUTY-6D</t>
  </si>
  <si>
    <t>Aesthetic Reset — 6 Days</t>
  </si>
  <si>
    <t>Эстетический Ресет — 6 дней</t>
  </si>
  <si>
    <t>Beauty</t>
  </si>
  <si>
    <t>BEAUTY</t>
  </si>
  <si>
    <t>Aesthetic &amp; Beauty</t>
  </si>
  <si>
    <t>Women 30–50, skin improvement, first aesthetic visit, CN/HK/RU market</t>
  </si>
  <si>
    <t>Женщины 30–50, улучшение кожи, первый эстетический визит, Китай/HK/Россия</t>
  </si>
  <si>
    <t>CN · HK · RU</t>
  </si>
  <si>
    <t>Visible skin tone improvement, wrinkle reduction, pore tightening, inner detox support</t>
  </si>
  <si>
    <t>Видимое улучшение тона кожи, уменьшение морщин, сужение пор, внутренняя детокс-поддержка</t>
  </si>
  <si>
    <t>DPL laser (5 sessions in 5 days) breaks down pigmentation and stimulates collagen — series is essential, one session gives minimal result. Rejuran 4cc uses polynucleotides to repair skin cell DNA from inside. Botox NABOTA gives immediate visual lift by day 3. Tanya detox protocol works from inside — toxin elimination improves skin clarity that aesthetics alone cannot achieve. Facial detox + body scrub + bath ritual complete the outside layer.</t>
  </si>
  <si>
    <t>DPL лазер 5 сессий разрушает пигментацию и стимулирует коллаген. Rejuran 4cc восстанавливает ДНК клеток кожи изнутри. Ботокс NABOTA даёт немедленный визуальный результат к дню 3. Детокс-протокол Tanya улучшает здоровье кожи изнутри. Лицо + скраб + ванна.</t>
  </si>
  <si>
    <t>Skin tone change visible by day 3. Lift effect by day 5. Full result develops over 2 weeks after departure.</t>
  </si>
  <si>
    <t>Изменение тона кожи видно к дню 3. Лифтинг к дню 5. Полный результат развивается 2 недели после.</t>
  </si>
  <si>
    <t>DPL laser 1 zone ×5 sessions | Botox NABOTA 50U | Rejuran 4cc | Facial detox (rose oil) | Body scrub ×2 | Detox bath ritual ×2 | IV vitamin drip | Take-home skincare kit</t>
  </si>
  <si>
    <t>Visible skin improvement by day 3. Ambassador referral eligible (10% commission).</t>
  </si>
  <si>
    <t>Pregnancy · Active skin infections · Recent laser elsewhere &lt;4 weeks · Blood thinners</t>
  </si>
  <si>
    <t>Upsell: upgrade Nabota to Xeomin (+฿2,000) or Allergan (+฿4,500) at booking stage</t>
  </si>
  <si>
    <t>Botox upgrade to XEOMIN (฿7,000 instead ฿5,000)</t>
  </si>
  <si>
    <t>Add 2nd DPL zone (฿6,500)</t>
  </si>
  <si>
    <t>NEOBELLA fat dissolving ×1 (฿2,900)</t>
  </si>
  <si>
    <t>30–80</t>
  </si>
  <si>
    <t>skin · wrinkles · pigmentation · spots · laser · botox · fillers · anti-aging · glow · whitening · pores</t>
  </si>
  <si>
    <t>No sun exposure 7 days before DPL. Stop retinol/AHA 5 days before. No alcohol 3 days before. Share: current skincare, medications, previous aesthetic procedures.</t>
  </si>
  <si>
    <t>DPL sessions as scheduled by clinic. Apply provided sunscreen daily. No sun exposure on face during program. Stay hydrated. Skin may appear slightly red after DPL — normal.</t>
  </si>
  <si>
    <t>No sun without SPF50+ for 2 weeks. Use Tanya Oil daily on face and neck. No harsh skincare for 1 week post-laser. Follow-up photo comparison at Day 14.</t>
  </si>
  <si>
    <t>BEAUTY-8D</t>
  </si>
  <si>
    <t>Aesthetic Reset — 8 Days</t>
  </si>
  <si>
    <t>Эстетический Ресет — 8 дней</t>
  </si>
  <si>
    <t>Women 30–50 with multiple aesthetic goals — skin + contouring + wrinkles</t>
  </si>
  <si>
    <t>Женщины 30–50 с несколькими эстетическими целями — кожа + контуринг + морщины</t>
  </si>
  <si>
    <t>Comprehensive skin transformation: pigmentation, contouring, volume, anti-aging in one program</t>
  </si>
  <si>
    <t>Комплексная трансформация кожи: пигментация, контуринг, объём, антивозрастной эффект в одной программе</t>
  </si>
  <si>
    <t>DPL laser 2 zones ×5 sessions each addresses both pigmentation and vessels/tone simultaneously. XEOMIN (German, purest Botox) provides long-lasting lift — ideal for 6-month maintenance cycle. Rejuran 4cc + Filler 1cc combine cellular repair with structural contouring. 2x facial detox + 3x scrub/bath complete surface protocol. 2x IV drips support systemic recovery. Tanya detox base ensures skin heals better and holds results longer.</t>
  </si>
  <si>
    <t>DPL лазер 2 зоны. XEOMIN (немецкий, самый чистый) — долгосрочный лифтинг. Rejuran 4cc + филлер 1cc — клеточное восстановление + структурный контуринг. Лицо ×2 + скраб ×3 + ванна. IV ×2. Детокс-база Tanya улучшает заживление.</t>
  </si>
  <si>
    <t>Comprehensive visible change. Botox result day 3–5. Full Rejuran result at 2 weeks post. Skin texture improvement throughout.</t>
  </si>
  <si>
    <t>Комплексное видимое изменение. Ботокс виден на 3–5 день. Полный результат Rejuran через 2 недели. Улучшение текстуры кожи на протяжении всей программы.</t>
  </si>
  <si>
    <t>DPL laser 2 zones ×5 sessions each | Botox XEOMIN 50U | Rejuran 4cc | Filler EPITIQUE 1cc | Facial detox ×2 | Body scrub ×3 | Bath ritual ×3 | IV vitamin drip ×2 | Take-home skincare kit</t>
  </si>
  <si>
    <t>Multi-zone skin transformation. Volume restoration. Tone and texture improvement. Results visible by day 3.</t>
  </si>
  <si>
    <t>Pregnancy · Active skin infections · Blood thinners · Recent aesthetic procedures &lt;4 weeks</t>
  </si>
  <si>
    <t>Pre-book Rejuran + Botox at booking stage. Inform clinic of medical history.</t>
  </si>
  <si>
    <t>NEOBELLA fat dissolving ×2 (฿5,800)</t>
  </si>
  <si>
    <t>Additional DPL zone (฿6,500)</t>
  </si>
  <si>
    <t>Upgrade to Allergan Botox (+฿2,500)</t>
  </si>
  <si>
    <t>skin · wrinkles · anti-aging · contouring · fillers · full face · botox · volume loss · jawline</t>
  </si>
  <si>
    <t>No sun 7 days before. Stop retinol/AHA 5 days before. No alcohol 3 days before. Pre-book aesthetic procedures at booking — clinic schedules fill quickly.</t>
  </si>
  <si>
    <t>All aesthetic procedures scheduled by clinic D1. Apply sunscreen daily. No sun on face. Skin may be red after DPL — normal 24–48 hours.</t>
  </si>
  <si>
    <t>No sun without SPF50+ for 2 weeks. Tanya Oil daily face and neck. Photo comparison D14. WhatsApp Mark with result photo — ambassador referral programme.</t>
  </si>
  <si>
    <t>BEAUTY-11D</t>
  </si>
  <si>
    <t>Aesthetic Reset — 11 Days</t>
  </si>
  <si>
    <t>Эстетический Ресет — 11 дней</t>
  </si>
  <si>
    <t>Maximum aesthetic transformation — premium market, CN/HK/RU, pre-event (wedding, launch)</t>
  </si>
  <si>
    <t>Максимальная эстетическая трансформация — премиум, Китай/HK/Россия, перед событием (свадьба)</t>
  </si>
  <si>
    <t>CN · HK · RU · Premium</t>
  </si>
  <si>
    <t>Full aesthetic overhaul: face + body + skin health. Highest-value single program in portfolio.</t>
  </si>
  <si>
    <t>Полное эстетическое обновление: лицо + тело + здоровье кожи. Самый дорогой продукт портфолио.</t>
  </si>
  <si>
    <t>DPL 3 zones + hair removal in 10-day programme for maximum coverage. ALLERGAN Botox 100U (US premium, smooth dispersion) provides the most natural-looking lift. Rejuran 8cc (full dose) for complete cellular skin renewal. Filler ×2cc for full contouring. NEOBELLA ×3 bottles for fat reduction in target areas. Daily scrub + bath ritual keeps skin in optimal state for procedures. 3x IV supports recovery and results.</t>
  </si>
  <si>
    <t>DPL 3 зоны + волосы. ALLERGAN 100U — самый натуральный результат. Rejuran 8cc — полное клеточное обновление. Филлер ×2cc. NEOBELLA ×3 бут. Daily скраб + ванна. IV ×3.</t>
  </si>
  <si>
    <t>Progressive transformation visible daily. Most dramatic result in portfolio. Full result at 3–4 weeks post-program.</t>
  </si>
  <si>
    <t>Прогрессивная трансформация видна каждый день. Самый драматичный результат в портфолио. Полный результат через 3–4 недели после.</t>
  </si>
  <si>
    <t>DPL laser 3 zones + hair removal | Botox ALLERGAN 100U | Rejuran 8cc | Filler EPITIQUE 2cc | NEOBELLA ×3 bottles | Facial detox ×3 | Body scrub + bath ritual daily | IV vitamin drip ×3 | Premium take-home skincare kit</t>
  </si>
  <si>
    <t>Maximum aesthetic transformation. Face + body contouring. Hair removal. Full skin renewal. Premium kit on departure.</t>
  </si>
  <si>
    <t>Pregnancy · Blood thinners · Active autoimmune · Recent procedures &lt;4 weeks</t>
  </si>
  <si>
    <t>Highest DIT commission in portfolio. Pre-book ALL procedures at booking — cannot schedule on arrival.</t>
  </si>
  <si>
    <t>L'EBSS Reju Chanels (฿2,900)</t>
  </si>
  <si>
    <t>Additional Theta healing session (฿4,500)</t>
  </si>
  <si>
    <t>Sound healing session (฿3,500)</t>
  </si>
  <si>
    <t>full transformation · wedding · before event · maximum results · all procedures · complete overhaul · full face body</t>
  </si>
  <si>
    <t>Pre-book ALL aesthetic procedures minimum 2 weeks before arrival — clinic fills quickly. No sun 7 days before. Stop all actives (retinol, AHA, BHA) 5 days before. Full medical history required.</t>
  </si>
  <si>
    <t>Clinic schedule all procedures D1–D2. Daily sunscreen mandatory. Rest between major procedures. Body composition photos with consent.</t>
  </si>
  <si>
    <t>SPF50+ daily for 1 month. Tanya Oil morning and evening. Photo documentation D14 and D30. WhatsApp Mark — ambassador programme eligible.</t>
  </si>
  <si>
    <t>RESET-06-6D</t>
  </si>
  <si>
    <t>Weight Reset — 6 Days</t>
  </si>
  <si>
    <t>Вес Ресет — 6 дней</t>
  </si>
  <si>
    <t>Weight</t>
  </si>
  <si>
    <t>RESET-06</t>
  </si>
  <si>
    <t>Body transformation start, metabolism reset, RU/APAC women, pre-event goals</t>
  </si>
  <si>
    <t>Начало трансформации тела, ресет метаболизма, женщины RU/APAC, цели перед событием</t>
  </si>
  <si>
    <t>RU · APAC women</t>
  </si>
  <si>
    <t>Begin metabolic reset, first measurable weight change, establish body composition baseline</t>
  </si>
  <si>
    <t>Начать ресет метаболизма, первое измеримое изменение веса, установить базовый состав тела</t>
  </si>
  <si>
    <t>Oil protocol triggers fat mobilisation through bile emulsification in the liver — internal fat-burning mechanism. Daily lymphatic drainage (5 days) is critical — without it fats mobilise but don't clear, causing fatigue and water retention. Therapeutic nutrition at Tanya Eatery recalibrates metabolic patterns. Body composition D1 vs final gives objective measurement. 2x IV drips support energy during deficit.</t>
  </si>
  <si>
    <t>Масляный протокол запускает мобилизацию жира через эмульсификацию желчи. Daily лимфодренаж ×5 критичен — без него жиры мобилизуются но не выводятся. Терапевтическое питание перекалибрует метаболизм. Состав тела D1 vs финал. IV ×2.</t>
  </si>
  <si>
    <t>-0.5–1kg by day 4. Visible change in contours by day 5. Body composition comparison on departure.</t>
  </si>
  <si>
    <t>–0.5–1 кг к дню 4. Видимое изменение контуров к дню 5. Сравнение состава тела на выходе.</t>
  </si>
  <si>
    <t>Lymphatic drainage daily ×5 | IV vitamin drip ×2 | Body composition tracking D1 + final | Therapeutic nutrition program | Yoga daily | Lotus Lake walk daily</t>
  </si>
  <si>
    <t>First metabolic shift. Body composition baseline established. Introduction to weight protocol.</t>
  </si>
  <si>
    <t>Pregnancy · Active eating disorders (consult Mark) · Severe medical conditions</t>
  </si>
  <si>
    <t>Do NOT diet or restrict before arrival — body needs energy reserves. Arrive rested.</t>
  </si>
  <si>
    <t>TCM acupuncture ×1 (฿3,500)</t>
  </si>
  <si>
    <t>Body scrub ×2 (฿3,200)</t>
  </si>
  <si>
    <t>lose weight · fat · metabolism · body · diet · slim · tummy · waist · pre-wedding · post-pregnancy · overweight</t>
  </si>
  <si>
    <t>Do NOT diet before arrival. Stop alcohol 5 days before. No meal skipping — eat regularly but lighter. 2.5L water daily. Measure: weight, waist, take before photo. No gym 3 days before.</t>
  </si>
  <si>
    <t>Oil session daily. Enema 1x morning. Body composition check D1 and final. Morning yoga. Lotus Lake walk. Lymphatic drainage as scheduled. Only Tanya Eatery — no outside food.</t>
  </si>
  <si>
    <t>16:8 intermittent fasting. No red meat 2 weeks. No alcohol 30 days. Walking 30 min daily week 1. Add yoga week 2. Add resistance week 3. Tanya Oil on target areas with lymphatic massage. Weekly weight + waist measurement.</t>
  </si>
  <si>
    <t>RESET-06-8D</t>
  </si>
  <si>
    <t>Weight Reset — 8 Days</t>
  </si>
  <si>
    <t>Вес Ресет — 8 дней</t>
  </si>
  <si>
    <t>Standard weight reset. Body transformation, metabolism reset, RU/APAC women</t>
  </si>
  <si>
    <t>Стандартный ресет веса. Трансформация тела, ресет метаболизма, женщины RU/APAC</t>
  </si>
  <si>
    <t>Visible body transformation, measurable fat reduction, metabolic pattern change, 30-day home protocol</t>
  </si>
  <si>
    <t>Видимая трансформация тела, измеримое снижение жира, изменение метаболических паттернов</t>
  </si>
  <si>
    <t>7x daily lymphatic drainage completes 2+ full drainage cycles — fat mobilised by oil protocol is continuously cleared. NEOBELLA ×3 bottles (DCA fat-dissolving) targets specific areas: chin, cheeks, abdomen. 3x IV drips maintain energy and metabolism during programme. Body composition at 3 points (D1, mid, final) shows real-time progress and maintains motivation. Therapeutic nutrition programme restructures eating patterns over 7 days.</t>
  </si>
  <si>
    <t>Лимфодренаж ×7 daily — 2 полных цикла дренажа. NEOBELLA ×3 бут. для конкретных зон. IV ×3. Состав тела в 3 точках. Программа терапевтического питания на 7 дней.</t>
  </si>
  <si>
    <t>-1–2kg by day 5. Visible contour change mid-programme. Body composition D1 vs D7 on departure.</t>
  </si>
  <si>
    <t>–1–2 кг к дню 5. Видимое изменение контура в середине программы. Состав тела D1 vs D7.</t>
  </si>
  <si>
    <t>Lymphatic drainage daily ×7 | IV vitamin drip ×3 | NEOBELLA fat dissolving ×3 bottles | Body composition tracking D1, mid, final | Therapeutic nutrition program | Yoga daily | Lotus Lake walk daily | 30-day home protocol</t>
  </si>
  <si>
    <t>Measurable fat reduction in target areas. Metabolic reset. 30-day protocol to maintain results.</t>
  </si>
  <si>
    <t>Pregnancy · Active eating disorders · Recent lipolysis procedures &lt;4 weeks</t>
  </si>
  <si>
    <t>Mid-programme check D5. Progress photos with guest consent. Pre-book NEOBELLA at booking stage.</t>
  </si>
  <si>
    <t>Additional NEOBELLA ×2 (฿5,800)</t>
  </si>
  <si>
    <t>TCM acupuncture ×2 (฿7,000)</t>
  </si>
  <si>
    <t>IV add-on ×1 (฿3,200)</t>
  </si>
  <si>
    <t>lose weight · fat · metabolism · slim · tummy · waist · body composition · intermittent fasting · weight loss</t>
  </si>
  <si>
    <t>Do NOT diet before. Stop alcohol 5 days before. 2.5L water daily. Before photo + measurements. Tell us goal: specific area? total weight? event date?</t>
  </si>
  <si>
    <t>Oil session + enema daily. Body composition D1, mid, final. Morning yoga + Lotus Lake walk. Daily lymphatic drainage critical. Only Tanya Eatery. Progress photos mid-programme.</t>
  </si>
  <si>
    <t>16:8 IF. No red meat 2 weeks. No alcohol 30 days. Tanya Oil on target areas with lymphatic massage. Weekly measurements. WhatsApp Mark D30 with measurements. Consider 21D extension if goal not yet met.</t>
  </si>
  <si>
    <t>RESET-06-11D</t>
  </si>
  <si>
    <t>Weight Reset — 11 Days</t>
  </si>
  <si>
    <t>Вес Ресет — 11 дней</t>
  </si>
  <si>
    <t>Serious weight goal, significant transformation, post-pregnancy, pre-wedding, metabolic reset</t>
  </si>
  <si>
    <t>Серьёзная цель по весу, значительная трансформация, после родов, перед свадьбой</t>
  </si>
  <si>
    <t>RU · APAC women · Pre-event</t>
  </si>
  <si>
    <t>Deep metabolic reset, significant measurable fat reduction, full body recomposition, structural lifestyle change</t>
  </si>
  <si>
    <t>Глубокий ресет метаболизма, значительное измеримое снижение жира, полная рекомпозиция тела</t>
  </si>
  <si>
    <t>10x daily lymphatic drainage — maximum fat clearance over 3 oil protocol cycles. NEOBELLA ×5 bottles across 3 target zones. TCM acupuncture ×3 supports liver function, hormonal balance, and metabolism — critical for stubborn fat. 4x IV drips. Therapeutic nutrition 10 days restructures deep metabolic patterns. 3-point body composition tracking with team. 30-day protocol + follow-up call.</t>
  </si>
  <si>
    <t>Лимфодренаж ×10 daily. NEOBELLA ×5 бут. в 3 зонах. ТКМ иглоукалывание ×3 — поддержка печени и гормонов. IV ×4. Питание 10 дней. Отслеживание состава тела ×3. 30-дневный протокол + follow-up.</t>
  </si>
  <si>
    <t>-2–4kg by day 8. Significant visible transformation. Deep metabolic shift. Often described as life-changing.</t>
  </si>
  <si>
    <t>–2–4 кг к дню 8. Значительная видимая трансформация. Глубокий метаболический сдвиг. Часто описывается как изменение жизни.</t>
  </si>
  <si>
    <t>Lymphatic drainage daily ×10 | IV vitamin drip ×4 | NEOBELLA fat dissolving ×5 bottles | TCM/Acupuncture ×3 | Body composition tracking ×3 | Therapeutic nutrition program | Yoga daily | 30-day home protocol + follow-up call</t>
  </si>
  <si>
    <t>Maximum fat reduction in target areas. Full metabolic reset. 30-day protocol + D30 follow-up with Mark.</t>
  </si>
  <si>
    <t>Pregnancy · Active eating disorders · Recent major lipolysis &lt;4 weeks · Severe medical conditions</t>
  </si>
  <si>
    <t>Pre-book NEOBELLA + TCM at booking. Mid-programme check D5. 21D extension available (฿200,000 Basic / ฿225,000 VIP).</t>
  </si>
  <si>
    <t>Additional NEOBELLA zone (฿2,900/bottle)</t>
  </si>
  <si>
    <t>serious weight loss · post-pregnancy · wedding · transformation · significant fat loss · metabolism problem · 10kg+ goal</t>
  </si>
  <si>
    <t>Do NOT diet before. Stop alcohol 5 days before. Arrive rested — no gym 3 days before. Before photo + measurements mandatory. Share timeline: post-pregnancy? pre-event?</t>
  </si>
  <si>
    <t>Full protocol daily. 3-point body composition tracking. Progress photos with consent. Pre-book all NEOBELLA sessions D1. If goal area: chin / abdomen — inform clinic at check-in.</t>
  </si>
  <si>
    <t>Strict 16:8 IF for 30 days. No red meat 2 weeks. No alcohol 30 days. Tanya Oil daily on target areas. Weekly measurements. D30 WA Mark with measurements + before/after if comfortable.</t>
  </si>
  <si>
    <t>RESET-04-6D</t>
  </si>
  <si>
    <t>Longevity Protocol — 6 Days</t>
  </si>
  <si>
    <t>Протокол Долголетия — 6 дней</t>
  </si>
  <si>
    <t>Longevity</t>
  </si>
  <si>
    <t>RESET-04</t>
  </si>
  <si>
    <t>Biohackers, preventive health, athletes, executives optimising performance, WBS 60+</t>
  </si>
  <si>
    <t>Биохакеры, превентивное здоровье, спортсмены, руководители оптимизирующие показатели</t>
  </si>
  <si>
    <t>SG · BKK · RU · EU</t>
  </si>
  <si>
    <t>Biomarker baseline, targeted supplementation, spinal and lymphatic optimisation, personalised protocol</t>
  </si>
  <si>
    <t>Базовый биомаркерный профиль, целевая нутрициология, спинальная и лимфатическая оптимизация</t>
  </si>
  <si>
    <t>Full blood panel D1 creates objective baseline — ApoB, inflammation, metabolic, hormonal markers. IV Longevity cocktail (NAD precursors, Vitamin C, Glutathione) works at cellular level. Bunya Clinic specialist interprets biomarkers and creates personalised protocol. Chiropractic removes structural blocks. Personalised 30-day protocol on departure based on blood results.</t>
  </si>
  <si>
    <t>Полный анализ крови D1. IV Longevity cocktail (NAD, Vit C, Глутатион). Специалист Bunya Clinic интерпретирует биомаркеры. Хиропрактика. Персонализированный 30-дневный протокол на основе анализов.</t>
  </si>
  <si>
    <t>Energy optimisation by day 3. Structural alignment. Personalised protocol in hand on departure.</t>
  </si>
  <si>
    <t>Оптимизация энергии к дню 3. Структурное выравнивание. Персонализированный протокол на выходе.</t>
  </si>
  <si>
    <t>Blood panel D1 + final | IV Longevity cocktail ×2 | Bunya Clinic specialist ×1 | Chiropractic ×1 | Personalised 30-day protocol</t>
  </si>
  <si>
    <t>Biomarker baseline. Personalised supplement protocol. Structural reset.</t>
  </si>
  <si>
    <t>None standard. If serious chronic conditions — Bunya Clinic assesses.</t>
  </si>
  <si>
    <t>Bring most recent blood panel (within 90 days). Send biomarker tracker template before arrival.</t>
  </si>
  <si>
    <t>Rejuran 4cc (฿9,900)</t>
  </si>
  <si>
    <t>Botox XEOMIN 50U (฿7,000)</t>
  </si>
  <si>
    <t>Additional IV (฿3,200)</t>
  </si>
  <si>
    <t>60–100</t>
  </si>
  <si>
    <t>optimize · biohacking · longevity · anti-aging · blood test · performance · VO2max · hormones · preventive · NAD</t>
  </si>
  <si>
    <t>Get most recent blood panel within 90 days. List all supplements, medications, health metrics. Think: what biomarkers matter most? ApoB? testosterone? VO2max? Reduce alcohol to zero 3 days before.</t>
  </si>
  <si>
    <t>Blood panel D1 — full metabolic, liver, kidney, thyroid, inflammation. IV drips ×2 scheduled. Bunya Clinic session — bring your health goals written down. Upsell window D1-2: Rejuran + Botox.</t>
  </si>
  <si>
    <t>Continue all supplements from discharge protocol. 16:8 IF 4–5 days/week. Zone 2 cardio 3x/week. Sleep 7–8 hrs consistent. Day 30 blood panel at local clinic — send results to Mark.</t>
  </si>
  <si>
    <t>RESET-04-8D</t>
  </si>
  <si>
    <t>Longevity Protocol — 8 Days</t>
  </si>
  <si>
    <t>Протокол Долголетия — 8 дней</t>
  </si>
  <si>
    <t>Optimisation-minded executives and athletes, WBS 60+, anti-aging, preventive health</t>
  </si>
  <si>
    <t>Руководители и спортсмены с фокусом на оптимизацию. WBS 60+, антивозрастной протокол</t>
  </si>
  <si>
    <t>Full biomarker assessment, cellular optimisation, structural alignment, personalised longevity roadmap</t>
  </si>
  <si>
    <t>Полная биомаркерная оценка, клеточная оптимизация, структурное выравнивание, персонализированная дорожная карта</t>
  </si>
  <si>
    <t>Comprehensive blood panel + ultrasound D1 and final — objective before/after comparison. 3x IV Longevity cocktail with NAD precursors, Vitamin C (high dose), Glutathione — cellular energy and detox at mitochondrial level. 2x Bunya Clinic specialist sessions: D1 intake + final review with personalised 30-day protocol. 2x chiropractic removes accumulated spinal tension. 3x lymphatic drainage ensures toxin clearance. D1 vs D7 side-by-side comparison given on departure.</t>
  </si>
  <si>
    <t>Анализы + УЗИ D1 и финал. IV Longevity ×3. Bunya Clinic ×2 (приём + итоговый обзор). Хиропрактика ×2. Лимфодренаж ×3. Сравнение D1 vs D7 на выходе.</t>
  </si>
  <si>
    <t>Energy optimisation by day 3–4. Structural alignment after chiropractic. D1 vs D7 comparison provides evidence. Personalised protocol ready on departure.</t>
  </si>
  <si>
    <t>Оптимизация энергии к дню 3–4. Структурное выравнивание. Сравнение D1 vs D7 — доказательная база. Персонализированный протокол.</t>
  </si>
  <si>
    <t>Blood panel + ultrasound D1 + final | IV Longevity cocktail ×3 (NAD + Vit C + Glutathione) | Bunya Clinic specialist ×2 | Chiropractic ×2 | Lymphatic drainage ×3 | Personalised 30-day longevity protocol</t>
  </si>
  <si>
    <t>Side-by-side D1 vs D7 biomarker comparison. Personalised supplement protocol. Structural reset. 30-day longevity roadmap.</t>
  </si>
  <si>
    <t>None standard. Serious conditions → Bunya Clinic assesses on arrival.</t>
  </si>
  <si>
    <t>Best margin programme per $ in portfolio. Pre-book Rejuran + Botox at booking stage for additional ฿13,000 DIT commission.</t>
  </si>
  <si>
    <t>DPL laser 1 zone (฿6,500)</t>
  </si>
  <si>
    <t>optimize · biohacking · longevity · anti-aging · blood markers · performance · inflammation · testosterone · preventive health</t>
  </si>
  <si>
    <t>Bring recent blood panel. List all supplements and medications. Bring wearable if you use one. Write down health goals — be specific. Continue exercise routine up to 2 days before arrival.</t>
  </si>
  <si>
    <t>Blood panel D1 full metabolic. 3x IV scheduled. Bunya Clinic D1 and D7. Upsell window D1-2: Rejuran + Botox. Send 30-day protocol PDF on departure.</t>
  </si>
  <si>
    <t>Continue all discharge protocol supplements. 16:8 IF. Zone 2 cardio 3x/week, resistance 2x/week. Sleep 7-8 hrs consistent schedule. Day 30 repeat blood panel — send results to Mark. Day 90 book next Longevity Protocol.</t>
  </si>
  <si>
    <t>RESET-04-11D</t>
  </si>
  <si>
    <t>Longevity Protocol — 11 Days</t>
  </si>
  <si>
    <t>Протокол Долголетия — 11 дней</t>
  </si>
  <si>
    <t>Premium longevity client, comprehensive anti-aging, WBS 70+, biohackers, corporate VIP</t>
  </si>
  <si>
    <t>Премиум клиент долголетия, комплексный антивозрастной протокол, WBS 70+, корпоративный VIP</t>
  </si>
  <si>
    <t>SG · RU · EU · Corporate</t>
  </si>
  <si>
    <t>Comprehensive longevity overhaul. Maximum cellular optimisation. Aesthetic integration. Full 30-day roadmap.</t>
  </si>
  <si>
    <t>Комплексное обновление долголетия. Максимальная клеточная оптимизация. Эстетическая интеграция. Полный 30-дневный план.</t>
  </si>
  <si>
    <t>3-point biomarker tracking (D1, mid, final) creates the most complete picture in the portfolio. 4x IV Longevity. 3x Bunya Clinic specialist — deep analysis, mid-programme adjustment, final protocol. 3x chiropractic + 4x lymphatic drainage for complete structural work. Rejuran 8cc for skin longevity integration. XEOMIN Botox for aesthetic alignment. Comprehensive 30-day protocol personalised to blood results.</t>
  </si>
  <si>
    <t>Биомаркеры ×3 точки. IV ×4. Bunya Clinic ×3. Хиропрактика ×3 + лимфодренаж ×4. Rejuran 8cc. XEOMIN. Полный 30-дневный персонализированный протокол.</t>
  </si>
  <si>
    <t>Progressive optimisation across 10 days. Most comprehensive longevity programme in Samui. Evidence-based results on departure.</t>
  </si>
  <si>
    <t>Прогрессивная оптимизация в течение 10 дней. Самая полная программа долголетия на Самуи. Доказательные результаты.</t>
  </si>
  <si>
    <t>Blood panel + ultrasound ×3 (D1, mid, final) | IV Longevity cocktail ×4 | Bunya Clinic specialist ×3 | Chiropractic ×3 | Lymphatic drainage ×4 | Rejuran 8cc | Botox XEOMIN 50U | Personalised 30-day protocol (extended)</t>
  </si>
  <si>
    <t>3-point biomarker comparison. Maximum cellular optimisation. Aesthetic integration. Comprehensive 30-day roadmap. High-value returning guest.</t>
  </si>
  <si>
    <t>None standard. All conditions assessed by Bunya Clinic.</t>
  </si>
  <si>
    <t>Highest LTV guest. D30 and D90 WA follow-up. High repeat booking rate. Pre-book all aesthetic at booking stage.</t>
  </si>
  <si>
    <t>Additional Bunya session (฿5,000)</t>
  </si>
  <si>
    <t>Additional IV Longevity (฿3,200)</t>
  </si>
  <si>
    <t>comprehensive longevity · anti-aging protocol · full assessment · NAD · hormone panel · ultimate · corporate health · executive programme</t>
  </si>
  <si>
    <t>Bring blood panel within 90 days. All supplements list. Wearable device. Health goals specific. Pre-book ALL aesthetic procedures. Arrive 2 days before if flying far — jet lag management.</t>
  </si>
  <si>
    <t>3-point blood tracking. All procedures pre-booked. Daily check-in with Bunya Clinic available. Upsell: additional DPL zone D2. Mid-programme assessment D5.</t>
  </si>
  <si>
    <t>All discharge protocol supplements. Personalised 16:8 + exercise protocol. Day 30 blood panel mandatory. D90 book next programme. Longstay Membership conversation at departure.</t>
  </si>
  <si>
    <t>PACKAGES — Basic · VIP · Companion</t>
  </si>
  <si>
    <t>package_id</t>
  </si>
  <si>
    <t>package_name</t>
  </si>
  <si>
    <t>rate_per_night_thb</t>
  </si>
  <si>
    <t>what_included</t>
  </si>
  <si>
    <t>accommodation_type</t>
  </si>
  <si>
    <t>target_guest</t>
  </si>
  <si>
    <t>note</t>
  </si>
  <si>
    <t>BASIC</t>
  </si>
  <si>
    <t>Basic Package</t>
  </si>
  <si>
    <t>Accommodation (shared/standard) | Detox &amp; wellness program | Program materials | Daily activities onsite | Meetings with Teacher Khun Kob | Access to center facilities</t>
  </si>
  <si>
    <t>Shared room or standard room</t>
  </si>
  <si>
    <t>First-time guests · budget-conscious · companion-sharing</t>
  </si>
  <si>
    <t>Program fee is separate per cohort. Solo supplement +฿2,000 for single room.</t>
  </si>
  <si>
    <t>VIP</t>
  </si>
  <si>
    <t>VIP Package</t>
  </si>
  <si>
    <t>Private accommodation | Doctor consultation &amp; blood analysis with Dr. Pongsak | Private airport transfers | Massage sessions every 3 days | Yoga practices all levels | Individual or group meditation | Guided Samui island tour | Personal wellness support before, during and after</t>
  </si>
  <si>
    <t>Private room</t>
  </si>
  <si>
    <t>Executives · premium guests · first-time VIP · groups wanting private experience</t>
  </si>
  <si>
    <t>VIP covers most services included in NS Reset / Longevity. Cohort adds only specific procedures on top.</t>
  </si>
  <si>
    <t>COMPANION</t>
  </si>
  <si>
    <t>Companion Stay</t>
  </si>
  <si>
    <t>Access to all center facilities | Lotus Lake | Meditation Pavilion | Fitness | Tanya Eatery | Treatments as add-ons (à la carte)</t>
  </si>
  <si>
    <t>Shared with program guest</t>
  </si>
  <si>
    <t>Partner of program guest · friend · family member</t>
  </si>
  <si>
    <t>฿2,000/night. Treatments charged separately from pricelist. Cannot book standalone — must be with program guest.</t>
  </si>
  <si>
    <t>ACCOMMODATION — New Wing Suites &amp; Villas</t>
  </si>
  <si>
    <t>room_id</t>
  </si>
  <si>
    <t>room_type</t>
  </si>
  <si>
    <t>room_category</t>
  </si>
  <si>
    <t>pax</t>
  </si>
  <si>
    <t>per_person_thb</t>
  </si>
  <si>
    <t>description_en</t>
  </si>
  <si>
    <t>description_ru</t>
  </si>
  <si>
    <t>features</t>
  </si>
  <si>
    <t>suitable_for</t>
  </si>
  <si>
    <t>SINGLE</t>
  </si>
  <si>
    <t>Single Room</t>
  </si>
  <si>
    <t>New Wing</t>
  </si>
  <si>
    <t>1 person · 1 bed · ensuite bathroom</t>
  </si>
  <si>
    <t>1 чел. · 1 кровать · ванная</t>
  </si>
  <si>
    <t>Ensuite bathroom · Air conditioning · Basic furnishing</t>
  </si>
  <si>
    <t>Solo travellers · solo detox</t>
  </si>
  <si>
    <t>Solo supplement on top of Basic package rate ฿6,860 → total ฿8,860/night</t>
  </si>
  <si>
    <t>SHARED</t>
  </si>
  <si>
    <t>Shared Room</t>
  </si>
  <si>
    <t>2 persons · shared room · 1 bathroom</t>
  </si>
  <si>
    <t>2 чел. · общий номер · 1 ванная</t>
  </si>
  <si>
    <t>Shared bathroom · Air conditioning</t>
  </si>
  <si>
    <t>Friends · couples on Basic</t>
  </si>
  <si>
    <t>Included in Basic package rate. 2 persons sharing = ฿1,000/person/night effective.</t>
  </si>
  <si>
    <t>SUPERIOR</t>
  </si>
  <si>
    <t>Superior Room</t>
  </si>
  <si>
    <t>2 persons · 2 bathrooms</t>
  </si>
  <si>
    <t>2 чел. · 2 ванные комнаты</t>
  </si>
  <si>
    <t>2 separate bathrooms · More space · Air conditioning</t>
  </si>
  <si>
    <t>Couples wanting more comfort · VIP upgrades</t>
  </si>
  <si>
    <t>Popular choice for couples. Add ฿1,000/night to Basic rate.</t>
  </si>
  <si>
    <t>DELUXE</t>
  </si>
  <si>
    <t>Deluxe Room</t>
  </si>
  <si>
    <t>2 bedrooms · 2 bathrooms · 2 persons</t>
  </si>
  <si>
    <t>2 спальни · 2 ванные · 2 чел.</t>
  </si>
  <si>
    <t>Separate bedrooms · 2 bathrooms · Living space</t>
  </si>
  <si>
    <t>Friends · couples wanting privacy</t>
  </si>
  <si>
    <t>Add ฿2,000/night to Basic rate.</t>
  </si>
  <si>
    <t>CLASSIC-NP</t>
  </si>
  <si>
    <t>Classic Villa (no pool)</t>
  </si>
  <si>
    <t>Villa</t>
  </si>
  <si>
    <t>4–5 guests · private garden · 2 bedrooms · 2 bathrooms</t>
  </si>
  <si>
    <t>4–5 чел. · сад · 2 спальни · 2 ванные</t>
  </si>
  <si>
    <t>Private garden · 2 bedrooms · 2 bathrooms</t>
  </si>
  <si>
    <t>Groups of 4–5 · families · friend groups</t>
  </si>
  <si>
    <t>฿6,217/person at 4 PAX. Programme fees added per person on top.</t>
  </si>
  <si>
    <t>CLASSIC-P</t>
  </si>
  <si>
    <t>Classic Villa (with pool)</t>
  </si>
  <si>
    <t>4–5 guests · private pool · 2 bedrooms · 2 bathrooms</t>
  </si>
  <si>
    <t>4–5 чел. · бассейн · 2 спальни · 2 ванные</t>
  </si>
  <si>
    <t>Private swimming pool · 2 bedrooms · 2 bathrooms</t>
  </si>
  <si>
    <t>Groups wanting pool · popular for Weight Reset groups</t>
  </si>
  <si>
    <t>฿6,717/person at 4 PAX. Most popular villa.</t>
  </si>
  <si>
    <t>JAPANESE</t>
  </si>
  <si>
    <t>Japanese Villa</t>
  </si>
  <si>
    <t>4 guests · Japanese design · private garden · 2 bedrooms</t>
  </si>
  <si>
    <t>4 чел. · японский стиль · сад · 2 спальни</t>
  </si>
  <si>
    <t>Japanese aesthetic · Private garden · 2 bedrooms</t>
  </si>
  <si>
    <t>Design-conscious guests · Sleep Reset groups · spiritual retreats</t>
  </si>
  <si>
    <t>฿6,217/person at 4 PAX.</t>
  </si>
  <si>
    <t>SINGAPORE</t>
  </si>
  <si>
    <t>Singapore Villa</t>
  </si>
  <si>
    <t>10 guests · largest villa · 5 bedrooms · entertainment space</t>
  </si>
  <si>
    <t>10 чел. · крупнейшая вилла · 5 спален</t>
  </si>
  <si>
    <t>5 bedrooms · Entertainment area · Largest villa · Corporate</t>
  </si>
  <si>
    <t>Corporate groups · large families · team retreats · 10 PAX</t>
  </si>
  <si>
    <t>฿3,887/person at 10 PAX. Corporate groups: escalate to Mark.</t>
  </si>
  <si>
    <t>SERVICES — À La Carte Pricelist · All Tanya Wellbeing Services</t>
  </si>
  <si>
    <t>service_id</t>
  </si>
  <si>
    <t>service_name_en</t>
  </si>
  <si>
    <t>service_name_ru</t>
  </si>
  <si>
    <t>duration</t>
  </si>
  <si>
    <t>price_thb</t>
  </si>
  <si>
    <t>dit_15pct</t>
  </si>
  <si>
    <t>best_for_cohorts</t>
  </si>
  <si>
    <t>upsell_ease_1_5</t>
  </si>
  <si>
    <t>best_pitch_en</t>
  </si>
  <si>
    <t>notes</t>
  </si>
  <si>
    <t>SVC-01</t>
  </si>
  <si>
    <t>Massage</t>
  </si>
  <si>
    <t>Tanya Thai Massage</t>
  </si>
  <si>
    <t>Тайский массаж Tanya</t>
  </si>
  <si>
    <t>60 min</t>
  </si>
  <si>
    <t>All cohorts</t>
  </si>
  <si>
    <t>Universal add-on — low price, easy yes for any guest</t>
  </si>
  <si>
    <t>SVC-02</t>
  </si>
  <si>
    <t>Aromatherapy Massage</t>
  </si>
  <si>
    <t>Ароматерапевтический массаж</t>
  </si>
  <si>
    <t>Sleep Reset · All cohorts</t>
  </si>
  <si>
    <t>Mood + relaxation — ideal for Mind and burnout guests</t>
  </si>
  <si>
    <t>5 scents: Balsam, Blessing, White Tea, Jasmine, Lemongrass</t>
  </si>
  <si>
    <t>SVC-03</t>
  </si>
  <si>
    <t>Detox Massage (Lymphatic)</t>
  </si>
  <si>
    <t>Детокс-массаж (Лимфодренаж)</t>
  </si>
  <si>
    <t>Detox Reset · Weight Reset</t>
  </si>
  <si>
    <t>Daily drainage — reduce fluid, stimulate fat burning</t>
  </si>
  <si>
    <t>Critical for Weight Reset programme</t>
  </si>
  <si>
    <t>SVC-04</t>
  </si>
  <si>
    <t>Upper Body &amp; Head Massage</t>
  </si>
  <si>
    <t>Массаж верхней части тела</t>
  </si>
  <si>
    <t>Tension release — executives and stress guests</t>
  </si>
  <si>
    <t>SVC-05</t>
  </si>
  <si>
    <t>Hot Stone Massage</t>
  </si>
  <si>
    <t>Массаж горячими камнями</t>
  </si>
  <si>
    <t>Detox Reset · Longevity</t>
  </si>
  <si>
    <t>Deep muscle release — energy and detox guests</t>
  </si>
  <si>
    <t>SVC-06</t>
  </si>
  <si>
    <t>Thai Herbal Compress</t>
  </si>
  <si>
    <t>Тайский травяной компресс</t>
  </si>
  <si>
    <t>Pairs with oil protocol — all detox guests</t>
  </si>
  <si>
    <t>SVC-07</t>
  </si>
  <si>
    <t>Foot Reflexology</t>
  </si>
  <si>
    <t>Рефлексология стоп</t>
  </si>
  <si>
    <t>Easy yes — any guest, any programme</t>
  </si>
  <si>
    <t>SVC-08</t>
  </si>
  <si>
    <t>Signature Detox Treatment</t>
  </si>
  <si>
    <t>Авторское детокс-лечение</t>
  </si>
  <si>
    <t>2 hrs</t>
  </si>
  <si>
    <t>Detox Reset · Advanced Detox</t>
  </si>
  <si>
    <t>120-min flagship — must-mention for every detox guest</t>
  </si>
  <si>
    <t>Herbal steam + detox massage with homemade oils</t>
  </si>
  <si>
    <t>SVC-09</t>
  </si>
  <si>
    <t>Journey of Samui</t>
  </si>
  <si>
    <t>Путешествие Самуи</t>
  </si>
  <si>
    <t>1.5 hrs</t>
  </si>
  <si>
    <t>Longevity · Beauty</t>
  </si>
  <si>
    <t>Experience add-on — beauty + longevity guests</t>
  </si>
  <si>
    <t>Body scrub + coconut-oil massage</t>
  </si>
  <si>
    <t>SVC-10</t>
  </si>
  <si>
    <t>Head-to-Toe Massage</t>
  </si>
  <si>
    <t>Массаж с головы до ног</t>
  </si>
  <si>
    <t>Full-body for stamina and burnout guests</t>
  </si>
  <si>
    <t>Thai massage + foot reflexology + head massage</t>
  </si>
  <si>
    <t>SVC-11</t>
  </si>
  <si>
    <t>Scrubs</t>
  </si>
  <si>
    <t>Body Scrub</t>
  </si>
  <si>
    <t>Скраб для тела</t>
  </si>
  <si>
    <t>30 min</t>
  </si>
  <si>
    <t>Beauty · Weight Reset</t>
  </si>
  <si>
    <t>Prep skin for treatments — Beauty and Weight guests</t>
  </si>
  <si>
    <t>5 types: Detox, Charcoal, Swiss Gold, Gluta, Collagen</t>
  </si>
  <si>
    <t>SVC-12</t>
  </si>
  <si>
    <t>Foot Scrub</t>
  </si>
  <si>
    <t>Скраб для ног</t>
  </si>
  <si>
    <t>Easy entry add-on — any guest</t>
  </si>
  <si>
    <t>SVC-13</t>
  </si>
  <si>
    <t>Bath</t>
  </si>
  <si>
    <t>Detox Bath — Blossom</t>
  </si>
  <si>
    <t>Детокс-ванна Цветение</t>
  </si>
  <si>
    <t>Beauty · Mind Reset</t>
  </si>
  <si>
    <t>Relaxation ritual — Beauty and Mind guests</t>
  </si>
  <si>
    <t>Peonies + Red Berries + Monoi de Tahiti</t>
  </si>
  <si>
    <t>SVC-14</t>
  </si>
  <si>
    <t>Detox Bath — Zen</t>
  </si>
  <si>
    <t>Детокс-ванна Дзен</t>
  </si>
  <si>
    <t>Sleep Reset · All</t>
  </si>
  <si>
    <t>Calming ritual — sleep and stress guests</t>
  </si>
  <si>
    <t>Bergamot + Green Tea + Monoi de Tahiti</t>
  </si>
  <si>
    <t>SVC-15</t>
  </si>
  <si>
    <t>Detox Bath — Serenity</t>
  </si>
  <si>
    <t>Детокс-ванна Безмятежность</t>
  </si>
  <si>
    <t>Sleep Reset · Mind</t>
  </si>
  <si>
    <t>Evening ritual — perfect for Sleep Reset guests</t>
  </si>
  <si>
    <t>Thai Jasmine + Mint + Monoi de Tahiti</t>
  </si>
  <si>
    <t>SVC-16</t>
  </si>
  <si>
    <t>Facial &amp; IV</t>
  </si>
  <si>
    <t>Facial Detox</t>
  </si>
  <si>
    <t>Детокс лица</t>
  </si>
  <si>
    <t>45 min</t>
  </si>
  <si>
    <t>Beauty · Longevity</t>
  </si>
  <si>
    <t>Skin glow add-on — beauty + longevity guests</t>
  </si>
  <si>
    <t>Rose Oil + Coconut Extract + sculpting massage</t>
  </si>
  <si>
    <t>SVC-17</t>
  </si>
  <si>
    <t>IV Vitamin Cocktail Drip</t>
  </si>
  <si>
    <t>Витаминная капельница</t>
  </si>
  <si>
    <t>varies</t>
  </si>
  <si>
    <t>ALL cohorts</t>
  </si>
  <si>
    <t>Fits ALL goals — easiest yes for any programme guest</t>
  </si>
  <si>
    <t>Energy boost, anti-inflammation, chronic fatigue, mood</t>
  </si>
  <si>
    <t>SVC-18</t>
  </si>
  <si>
    <t>Holistic</t>
  </si>
  <si>
    <t>Spiritual Counselling</t>
  </si>
  <si>
    <t>Духовное консультирование</t>
  </si>
  <si>
    <t>Deep personal guidance for transformation guests</t>
  </si>
  <si>
    <t>SVC-19</t>
  </si>
  <si>
    <t>Reiki Healing</t>
  </si>
  <si>
    <t>Рейки</t>
  </si>
  <si>
    <t>Energy healing — Mind and Rehab programmes</t>
  </si>
  <si>
    <t>SVC-20</t>
  </si>
  <si>
    <t>Chakra Balancing</t>
  </si>
  <si>
    <t>Балансировка чакр</t>
  </si>
  <si>
    <t>Full alignment — mind and reset guests</t>
  </si>
  <si>
    <t>Reiki + crystals + sound</t>
  </si>
  <si>
    <t>SVC-21</t>
  </si>
  <si>
    <t>Crystal Healing</t>
  </si>
  <si>
    <t>Кристаллотерапия</t>
  </si>
  <si>
    <t>Pairs with sound healing — mind programmes</t>
  </si>
  <si>
    <t>SVC-22</t>
  </si>
  <si>
    <t>Sound Healing (Crystal Bowls)</t>
  </si>
  <si>
    <t>Звуковая терапия</t>
  </si>
  <si>
    <t>Crystal bowls — primary for mind/NS guests</t>
  </si>
  <si>
    <t>Group rates on request</t>
  </si>
  <si>
    <t>SVC-23</t>
  </si>
  <si>
    <t>Traditional Chinese Medicine</t>
  </si>
  <si>
    <t>Традиционная китайская медицина</t>
  </si>
  <si>
    <t>Detox Reset · Weight Reset · Longevity</t>
  </si>
  <si>
    <t>Supports liver and metabolic function</t>
  </si>
  <si>
    <t>Acupuncture + herbal remedies + lifestyle guidance</t>
  </si>
  <si>
    <t>SVC-24</t>
  </si>
  <si>
    <t>Energy</t>
  </si>
  <si>
    <t>Theta Healing</t>
  </si>
  <si>
    <t>Тета-хилинг</t>
  </si>
  <si>
    <t>60-75 min</t>
  </si>
  <si>
    <t>Subconscious belief work — mind + burnout guests</t>
  </si>
  <si>
    <t>THINK certified</t>
  </si>
  <si>
    <t>SVC-25</t>
  </si>
  <si>
    <t>Emotion Code Therapy</t>
  </si>
  <si>
    <t>Терапия кодирования эмоций</t>
  </si>
  <si>
    <t>Release trapped emotional energy</t>
  </si>
  <si>
    <t>SVC-26</t>
  </si>
  <si>
    <t>Cutting the Ties that Bind</t>
  </si>
  <si>
    <t>Разрезание уз</t>
  </si>
  <si>
    <t>Deepest attachment release — 11D Mind guests</t>
  </si>
  <si>
    <t>SVC-27</t>
  </si>
  <si>
    <t>Mindfulness</t>
  </si>
  <si>
    <t>Tarot &amp; Oracle Reading</t>
  </si>
  <si>
    <t>Чтение карт Таро</t>
  </si>
  <si>
    <t>Sleep Reset · Longstay</t>
  </si>
  <si>
    <t>Pattern identification — mind and spiritual guests</t>
  </si>
  <si>
    <t>SVC-28</t>
  </si>
  <si>
    <t>Mindfulness &amp; Meditation</t>
  </si>
  <si>
    <t>Осознанность и медитация</t>
  </si>
  <si>
    <t>Entry-level holistic — easy yes for any mindful guest</t>
  </si>
  <si>
    <t>Group rates available</t>
  </si>
  <si>
    <t>SVC-29</t>
  </si>
  <si>
    <t>Visions &amp; Dreams — Life Purpose</t>
  </si>
  <si>
    <t>Жизнь с целью</t>
  </si>
  <si>
    <t>Direction work — transformation guests</t>
  </si>
  <si>
    <t>SVC-30</t>
  </si>
  <si>
    <t>Reiki Course</t>
  </si>
  <si>
    <t>Reiki Level I (Certified)</t>
  </si>
  <si>
    <t>Рейки Уровень I</t>
  </si>
  <si>
    <t>6 hrs</t>
  </si>
  <si>
    <t>Longstay · Spiritual</t>
  </si>
  <si>
    <t>Long-stay upsell — skill-building guests</t>
  </si>
  <si>
    <t>Certificate included</t>
  </si>
  <si>
    <t>SVC-31</t>
  </si>
  <si>
    <t>Reiki Level II (Certified)</t>
  </si>
  <si>
    <t>Рейки Уровень II</t>
  </si>
  <si>
    <t>6-8 hrs</t>
  </si>
  <si>
    <t>Longstay</t>
  </si>
  <si>
    <t>Advanced healing work</t>
  </si>
  <si>
    <t>SVC-32</t>
  </si>
  <si>
    <t>Reiki Master/Teacher</t>
  </si>
  <si>
    <t>Мастер Рейки</t>
  </si>
  <si>
    <t>15 hrs</t>
  </si>
  <si>
    <t>Long-stay transformation guests</t>
  </si>
  <si>
    <t>Certificate + attunements · 4-5 day intensive</t>
  </si>
  <si>
    <t>SVC-33</t>
  </si>
  <si>
    <t>Laser DPL</t>
  </si>
  <si>
    <t>DPL — Acne Treatment</t>
  </si>
  <si>
    <t>DPL — Лечение акне</t>
  </si>
  <si>
    <t>5 sessions</t>
  </si>
  <si>
    <t>Visible results from session 3</t>
  </si>
  <si>
    <t>5-session series required</t>
  </si>
  <si>
    <t>SVC-34</t>
  </si>
  <si>
    <t>DPL — Whitening</t>
  </si>
  <si>
    <t>DPL — Осветление</t>
  </si>
  <si>
    <t>Popular CN/HK market treatment</t>
  </si>
  <si>
    <t>5-session series</t>
  </si>
  <si>
    <t>SVC-35</t>
  </si>
  <si>
    <t>DPL — Blemish &amp; Freckles</t>
  </si>
  <si>
    <t>DPL — Пигментация</t>
  </si>
  <si>
    <t>CN/HK/RU high demand</t>
  </si>
  <si>
    <t>SVC-36</t>
  </si>
  <si>
    <t>DPL — Superficial Vessels</t>
  </si>
  <si>
    <t>DPL — Сосуды</t>
  </si>
  <si>
    <t>Rosacea and vessel guests</t>
  </si>
  <si>
    <t>SVC-37</t>
  </si>
  <si>
    <t>DPL — Hair Removal Face/Armpit</t>
  </si>
  <si>
    <t>DPL — Волосы (лицо/подмышки)</t>
  </si>
  <si>
    <t>10 sessions</t>
  </si>
  <si>
    <t>Add-on for 11D Beauty guests</t>
  </si>
  <si>
    <t>SVC-38</t>
  </si>
  <si>
    <t>DPL — Hair Removal Bikini</t>
  </si>
  <si>
    <t>DPL — Бикини</t>
  </si>
  <si>
    <t>Premium add-on</t>
  </si>
  <si>
    <t>SVC-39</t>
  </si>
  <si>
    <t>DPL — Hair Removal Arm/Leg</t>
  </si>
  <si>
    <t>DPL — Руки/Ноги</t>
  </si>
  <si>
    <t>Beauty · 11D</t>
  </si>
  <si>
    <t>Large area treatment</t>
  </si>
  <si>
    <t>SVC-40</t>
  </si>
  <si>
    <t>Botox</t>
  </si>
  <si>
    <t>NABOTA Botox 50U (Korean)</t>
  </si>
  <si>
    <t>Ботокс NABOTA 50U</t>
  </si>
  <si>
    <t>-</t>
  </si>
  <si>
    <t>Entry botox — fast-acting, natural look</t>
  </si>
  <si>
    <t>Premium Korean · 100U: ฿9,000</t>
  </si>
  <si>
    <t>SVC-41</t>
  </si>
  <si>
    <t>XEOMIN Botox 50U (German)</t>
  </si>
  <si>
    <t>Ботокс XEOMIN 50U</t>
  </si>
  <si>
    <t>Purest botox — consistent long-term results</t>
  </si>
  <si>
    <t>Best for 6-month maintenance · 100U: ฿13,500</t>
  </si>
  <si>
    <t>SVC-42</t>
  </si>
  <si>
    <t>ALLERGAN Botox 50U (USA)</t>
  </si>
  <si>
    <t>Ботокс ALLERGAN 50U</t>
  </si>
  <si>
    <t>Premium US import — smooth dispersion</t>
  </si>
  <si>
    <t>Results 2-7 days · 100U: ฿18,000</t>
  </si>
  <si>
    <t>SVC-43</t>
  </si>
  <si>
    <t>Injectables</t>
  </si>
  <si>
    <t>REJURAN Skin Booster 4cc</t>
  </si>
  <si>
    <t>Rejuran 4cc</t>
  </si>
  <si>
    <t>Skin renewal from inside — polynucleotides</t>
  </si>
  <si>
    <t>8cc: ฿19,800</t>
  </si>
  <si>
    <t>SVC-44</t>
  </si>
  <si>
    <t>Filler EPITIQUE 1cc (Korean HA)</t>
  </si>
  <si>
    <t>Филлер EPITIQUE 1cc</t>
  </si>
  <si>
    <t>Contour enhancement — natural breakdown</t>
  </si>
  <si>
    <t>SVC-45</t>
  </si>
  <si>
    <t>NEOBELLA Fat Dissolving 1 bottle</t>
  </si>
  <si>
    <t>Neobella 1 бутылка</t>
  </si>
  <si>
    <t>FDA-approved DCA · chin, cheeks, abdomen</t>
  </si>
  <si>
    <t>5 bottles: ฿13,050</t>
  </si>
  <si>
    <t>SVC-46</t>
  </si>
  <si>
    <t>L'EBSS REJU CHANELS</t>
  </si>
  <si>
    <t>Deep moisturising — dry/damaged/UV skin</t>
  </si>
  <si>
    <t>PRICE MATRIX — All Cohorts × 6D/8D/11D × Basic/VIP</t>
  </si>
  <si>
    <t>cohort</t>
  </si>
  <si>
    <t>base_nights</t>
  </si>
  <si>
    <t>base_total_thb</t>
  </si>
  <si>
    <t>cohort_svcs_basic</t>
  </si>
  <si>
    <t>dit_basic</t>
  </si>
  <si>
    <t>cohort_svcs_vip_addon</t>
  </si>
  <si>
    <t>dit_vip</t>
  </si>
  <si>
    <t>margin_note</t>
  </si>
  <si>
    <t>Detox Reset</t>
  </si>
  <si>
    <t>6D/5N</t>
  </si>
  <si>
    <t>Standard entry</t>
  </si>
  <si>
    <t>8D/7N</t>
  </si>
  <si>
    <t>Main product</t>
  </si>
  <si>
    <t>11D/10N</t>
  </si>
  <si>
    <t>Deep protocol</t>
  </si>
  <si>
    <t>Sleep Reset</t>
  </si>
  <si>
    <t>Most content-rich</t>
  </si>
  <si>
    <t>Deep trauma work</t>
  </si>
  <si>
    <t>Entry aesthetic</t>
  </si>
  <si>
    <t>Standard</t>
  </si>
  <si>
    <t>Highest DIT check</t>
  </si>
  <si>
    <t>Weight Reset</t>
  </si>
  <si>
    <t>Max transformation</t>
  </si>
  <si>
    <t>Entry longevity</t>
  </si>
  <si>
    <t>Best margin</t>
  </si>
  <si>
    <t>Premium LTV</t>
  </si>
  <si>
    <t>SUPABASE SCHEMA GUIDE — Table structure for Oleg</t>
  </si>
  <si>
    <t>table_name</t>
  </si>
  <si>
    <t>column_name</t>
  </si>
  <si>
    <t>data_type</t>
  </si>
  <si>
    <t>source_sheet</t>
  </si>
  <si>
    <t>programs</t>
  </si>
  <si>
    <t>TEXT PRIMARY KEY</t>
  </si>
  <si>
    <t>e.g. RESET-01-8D</t>
  </si>
  <si>
    <t>Programs</t>
  </si>
  <si>
    <t>TEXT NOT NULL</t>
  </si>
  <si>
    <t>English name</t>
  </si>
  <si>
    <t>TEXT</t>
  </si>
  <si>
    <t>Russian name</t>
  </si>
  <si>
    <t>Reset / Mind / Beauty / Weight / Longevity</t>
  </si>
  <si>
    <t>RESET-01, RESET-05 etc.</t>
  </si>
  <si>
    <t>Reset &amp; Recovery / Aesthetic &amp; Beauty</t>
  </si>
  <si>
    <t>Public / Private</t>
  </si>
  <si>
    <t>INTEGER</t>
  </si>
  <si>
    <t>e.g. 8D / 7N</t>
  </si>
  <si>
    <t>Comma-separated market codes</t>
  </si>
  <si>
    <t>Product description — goal</t>
  </si>
  <si>
    <t>How results are achieved</t>
  </si>
  <si>
    <t>Expected guest experience</t>
  </si>
  <si>
    <t>Pipe-separated list of services</t>
  </si>
  <si>
    <t>Measurable outcomes</t>
  </si>
  <si>
    <t>Final price Basic in THB</t>
  </si>
  <si>
    <t>Final price VIP in THB</t>
  </si>
  <si>
    <t>USD approximation</t>
  </si>
  <si>
    <t>Number of nights</t>
  </si>
  <si>
    <t>6860 Basic / 11860 VIP</t>
  </si>
  <si>
    <t>Cost of cohort services above Basic</t>
  </si>
  <si>
    <t>Cohort cost above VIP (VIP covers massage/yoga)</t>
  </si>
  <si>
    <t>Extra per night for solo room</t>
  </si>
  <si>
    <t>Primary upsell recommendation</t>
  </si>
  <si>
    <t>e.g. 20–55</t>
  </si>
  <si>
    <t>Cura/Gigi matching keywords</t>
  </si>
  <si>
    <t>Pre-arrival preparation script</t>
  </si>
  <si>
    <t>During programme script</t>
  </si>
  <si>
    <t>Post-programme protocol</t>
  </si>
  <si>
    <t>active / draft / private</t>
  </si>
  <si>
    <t>Display order</t>
  </si>
  <si>
    <t>packages</t>
  </si>
  <si>
    <t>BASIC / VIP / COMPANION</t>
  </si>
  <si>
    <t>Packages</t>
  </si>
  <si>
    <t>Pipe-separated list</t>
  </si>
  <si>
    <t>accommodation</t>
  </si>
  <si>
    <t>e.g. CLASSIC-P</t>
  </si>
  <si>
    <t>Accommodation</t>
  </si>
  <si>
    <t>New Wing / Villa</t>
  </si>
  <si>
    <t>Max guests</t>
  </si>
  <si>
    <t>Rate divided by pax</t>
  </si>
  <si>
    <t>services</t>
  </si>
  <si>
    <t>e.g. SVC-17</t>
  </si>
  <si>
    <t>Services</t>
  </si>
  <si>
    <t>Massage / Holistic / Botox etc.</t>
  </si>
  <si>
    <t>Calculated commission</t>
  </si>
  <si>
    <t>Comma-separated cohort codes</t>
  </si>
  <si>
    <t>1=hard 5=easy</t>
  </si>
  <si>
    <t>Sales pitch line</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</si>
</sst>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2.0"/>
      <color rgb="FFFFFFFF"/>
      <name val="Arial"/>
    </font>
    <font/>
    <font>
      <b/>
      <sz val="9.0"/>
      <color rgb="FFFFFFFF"/>
      <name val="Arial"/>
    </font>
    <font>
      <b/>
      <sz val="10.0"/>
      <color rgb="FFFFFFFF"/>
      <name val="Arial"/>
    </font>
    <font>
      <sz val="10.0"/>
      <color rgb="FF000000"/>
      <name val="Arial"/>
    </font>
    <font>
      <b/>
      <sz val="10.0"/>
      <color rgb="FF000000"/>
      <name val="Arial"/>
    </font>
    <font>
      <b/>
      <sz val="10.0"/>
      <color rgb="FF085041"/>
      <name val="Arial"/>
    </font>
    <font>
      <sz val="10.0"/>
      <color rgb="FF185FA5"/>
      <name val="Arial"/>
    </font>
    <font>
      <b/>
      <sz val="10.0"/>
      <color rgb="FF185FA5"/>
      <name val="Arial"/>
    </font>
  </fonts>
  <fills count="16">
    <fill>
      <patternFill patternType="none"/>
    </fill>
    <fill>
      <patternFill patternType="lightGray"/>
    </fill>
    <fill>
      <patternFill patternType="solid">
        <fgColor rgb="FF1A2025"/>
        <bgColor rgb="FF1A2025"/>
      </patternFill>
    </fill>
    <fill>
      <patternFill patternType="solid">
        <fgColor rgb="FF1F2B2F"/>
        <bgColor rgb="FF1F2B2F"/>
      </patternFill>
    </fill>
    <fill>
      <patternFill patternType="solid">
        <fgColor rgb="FFF1EFE8"/>
        <bgColor rgb="FFF1EFE8"/>
      </patternFill>
    </fill>
    <fill>
      <patternFill patternType="solid">
        <fgColor rgb="FFFAEEDA"/>
        <bgColor rgb="FFFAEEDA"/>
      </patternFill>
    </fill>
    <fill>
      <patternFill patternType="solid">
        <fgColor rgb="FFF8F8F2"/>
        <bgColor rgb="FFF8F8F2"/>
      </patternFill>
    </fill>
    <fill>
      <patternFill patternType="solid">
        <fgColor rgb="FFE1F5EE"/>
        <bgColor rgb="FFE1F5EE"/>
      </patternFill>
    </fill>
    <fill>
      <patternFill patternType="solid">
        <fgColor rgb="FFE6F1FB"/>
        <bgColor rgb="FFE6F1FB"/>
      </patternFill>
    </fill>
    <fill>
      <patternFill patternType="solid">
        <fgColor rgb="FFF0F8FF"/>
        <bgColor rgb="FFF0F8FF"/>
      </patternFill>
    </fill>
    <fill>
      <patternFill patternType="solid">
        <fgColor rgb="FFEEEDFE"/>
        <bgColor rgb="FFEEEDFE"/>
      </patternFill>
    </fill>
    <fill>
      <patternFill patternType="solid">
        <fgColor rgb="FFF5F0FF"/>
        <bgColor rgb="FFF5F0FF"/>
      </patternFill>
    </fill>
    <fill>
      <patternFill patternType="solid">
        <fgColor rgb="FFF0FFF0"/>
        <bgColor rgb="FFF0FFF0"/>
      </patternFill>
    </fill>
    <fill>
      <patternFill patternType="solid">
        <fgColor rgb="FFFCEBEB"/>
        <bgColor rgb="FFFCEBEB"/>
      </patternFill>
    </fill>
    <fill>
      <patternFill patternType="solid">
        <fgColor rgb="FFFFF0F5"/>
        <bgColor rgb="FFFFF0F5"/>
      </patternFill>
    </fill>
    <fill>
      <patternFill patternType="solid">
        <fgColor rgb="FFFFF5E8"/>
        <bgColor rgb="FFFFF5E8"/>
      </patternFill>
    </fill>
  </fills>
  <borders count="7">
    <border/>
    <border>
      <left/>
      <top/>
      <bottom/>
    </border>
    <border>
      <top/>
      <bottom/>
    </border>
    <border>
      <right/>
      <top/>
      <bottom/>
    </border>
    <border>
      <left/>
      <right/>
      <top/>
      <bottom/>
    </border>
    <border>
      <left/>
      <right/>
      <top/>
      <bottom style="thin">
        <color rgb="FFCCCCCC"/>
      </bottom>
    </border>
    <border>
      <bottom style="thin">
        <color rgb="FFCCCCCC"/>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5" fillId="2" fontId="4" numFmtId="0" xfId="0" applyAlignment="1" applyBorder="1" applyFont="1">
      <alignment horizontal="left" shrinkToFit="0" vertical="top" wrapText="1"/>
    </xf>
    <xf borderId="6" fillId="0" fontId="5" numFmtId="0" xfId="0" applyAlignment="1" applyBorder="1" applyFont="1">
      <alignment horizontal="left" shrinkToFit="0" vertical="top" wrapText="1"/>
    </xf>
    <xf borderId="5" fillId="4" fontId="6" numFmtId="0" xfId="0" applyAlignment="1" applyBorder="1" applyFill="1" applyFont="1">
      <alignment horizontal="left" shrinkToFit="0" vertical="top" wrapText="1"/>
    </xf>
    <xf borderId="6" fillId="0" fontId="6" numFmtId="0" xfId="0" applyAlignment="1" applyBorder="1" applyFont="1">
      <alignment horizontal="left" shrinkToFit="0" vertical="top" wrapText="1"/>
    </xf>
    <xf borderId="5" fillId="5" fontId="5" numFmtId="0" xfId="0" applyAlignment="1" applyBorder="1" applyFill="1" applyFont="1">
      <alignment horizontal="left" shrinkToFit="0" vertical="top" wrapText="1"/>
    </xf>
    <xf borderId="5" fillId="6" fontId="5" numFmtId="0" xfId="0" applyAlignment="1" applyBorder="1" applyFill="1" applyFont="1">
      <alignment horizontal="left" shrinkToFit="0" vertical="top" wrapText="1"/>
    </xf>
    <xf borderId="5" fillId="7" fontId="7" numFmtId="0" xfId="0" applyAlignment="1" applyBorder="1" applyFill="1" applyFont="1">
      <alignment horizontal="left" shrinkToFit="0" vertical="top" wrapText="1"/>
    </xf>
    <xf borderId="5" fillId="8" fontId="8" numFmtId="0" xfId="0" applyAlignment="1" applyBorder="1" applyFill="1" applyFont="1">
      <alignment horizontal="left" shrinkToFit="0" vertical="top" wrapText="1"/>
    </xf>
    <xf borderId="0" fillId="0" fontId="5" numFmtId="0" xfId="0" applyAlignment="1" applyFont="1">
      <alignment horizontal="left" shrinkToFit="0" vertical="top" wrapText="1"/>
    </xf>
    <xf borderId="4" fillId="7" fontId="5" numFmtId="0" xfId="0" applyAlignment="1" applyBorder="1" applyFont="1">
      <alignment horizontal="left" shrinkToFit="0" vertical="top" wrapText="1"/>
    </xf>
    <xf borderId="4" fillId="5" fontId="5" numFmtId="0" xfId="0" applyAlignment="1" applyBorder="1" applyFont="1">
      <alignment horizontal="left" shrinkToFit="0" vertical="top" wrapText="1"/>
    </xf>
    <xf borderId="5" fillId="9" fontId="5" numFmtId="0" xfId="0" applyAlignment="1" applyBorder="1" applyFill="1" applyFont="1">
      <alignment horizontal="left" shrinkToFit="0" vertical="top" wrapText="1"/>
    </xf>
    <xf borderId="5" fillId="8" fontId="5" numFmtId="0" xfId="0" applyAlignment="1" applyBorder="1" applyFont="1">
      <alignment horizontal="left" shrinkToFit="0" vertical="top" wrapText="1"/>
    </xf>
    <xf borderId="5" fillId="10" fontId="5" numFmtId="0" xfId="0" applyAlignment="1" applyBorder="1" applyFill="1" applyFont="1">
      <alignment horizontal="left" shrinkToFit="0" vertical="top" wrapText="1"/>
    </xf>
    <xf borderId="5" fillId="11" fontId="5" numFmtId="0" xfId="0" applyAlignment="1" applyBorder="1" applyFill="1" applyFont="1">
      <alignment horizontal="left" shrinkToFit="0" vertical="top" wrapText="1"/>
    </xf>
    <xf borderId="5" fillId="12" fontId="5" numFmtId="0" xfId="0" applyAlignment="1" applyBorder="1" applyFill="1" applyFont="1">
      <alignment horizontal="left" shrinkToFit="0" vertical="top" wrapText="1"/>
    </xf>
    <xf borderId="5" fillId="13" fontId="5" numFmtId="0" xfId="0" applyAlignment="1" applyBorder="1" applyFill="1" applyFont="1">
      <alignment horizontal="left" shrinkToFit="0" vertical="top" wrapText="1"/>
    </xf>
    <xf borderId="5" fillId="14" fontId="5" numFmtId="0" xfId="0" applyAlignment="1" applyBorder="1" applyFill="1" applyFont="1">
      <alignment horizontal="left" shrinkToFit="0" vertical="top" wrapText="1"/>
    </xf>
    <xf borderId="5" fillId="15" fontId="5" numFmtId="0" xfId="0" applyAlignment="1" applyBorder="1" applyFill="1" applyFont="1">
      <alignment horizontal="left" shrinkToFit="0" vertical="top" wrapText="1"/>
    </xf>
    <xf borderId="5" fillId="7" fontId="5" numFmtId="0" xfId="0" applyAlignment="1" applyBorder="1" applyFont="1">
      <alignment horizontal="left" vertical="top"/>
    </xf>
    <xf borderId="5" fillId="7" fontId="5" numFmtId="0" xfId="0" applyAlignment="1" applyBorder="1" applyFont="1">
      <alignment horizontal="right" vertical="top"/>
    </xf>
    <xf borderId="5" fillId="7" fontId="7" numFmtId="0" xfId="0" applyAlignment="1" applyBorder="1" applyFont="1">
      <alignment horizontal="right" vertical="top"/>
    </xf>
    <xf borderId="5" fillId="7" fontId="9" numFmtId="0" xfId="0" applyAlignment="1" applyBorder="1" applyFont="1">
      <alignment horizontal="right" vertical="top"/>
    </xf>
    <xf borderId="5" fillId="8" fontId="5" numFmtId="0" xfId="0" applyAlignment="1" applyBorder="1" applyFont="1">
      <alignment horizontal="left" vertical="top"/>
    </xf>
    <xf borderId="5" fillId="8" fontId="5" numFmtId="0" xfId="0" applyAlignment="1" applyBorder="1" applyFont="1">
      <alignment horizontal="right" vertical="top"/>
    </xf>
    <xf borderId="5" fillId="8" fontId="7" numFmtId="0" xfId="0" applyAlignment="1" applyBorder="1" applyFont="1">
      <alignment horizontal="right" vertical="top"/>
    </xf>
    <xf borderId="5" fillId="8" fontId="9" numFmtId="0" xfId="0" applyAlignment="1" applyBorder="1" applyFont="1">
      <alignment horizontal="right" vertical="top"/>
    </xf>
    <xf borderId="5" fillId="14" fontId="5" numFmtId="0" xfId="0" applyAlignment="1" applyBorder="1" applyFont="1">
      <alignment horizontal="left" vertical="top"/>
    </xf>
    <xf borderId="5" fillId="14" fontId="5" numFmtId="0" xfId="0" applyAlignment="1" applyBorder="1" applyFont="1">
      <alignment horizontal="right" vertical="top"/>
    </xf>
    <xf borderId="5" fillId="14" fontId="7" numFmtId="0" xfId="0" applyAlignment="1" applyBorder="1" applyFont="1">
      <alignment horizontal="right" vertical="top"/>
    </xf>
    <xf borderId="5" fillId="14" fontId="9" numFmtId="0" xfId="0" applyAlignment="1" applyBorder="1" applyFont="1">
      <alignment horizontal="right" vertical="top"/>
    </xf>
    <xf borderId="5" fillId="5" fontId="5" numFmtId="0" xfId="0" applyAlignment="1" applyBorder="1" applyFont="1">
      <alignment horizontal="left" vertical="top"/>
    </xf>
    <xf borderId="5" fillId="5" fontId="5" numFmtId="0" xfId="0" applyAlignment="1" applyBorder="1" applyFont="1">
      <alignment horizontal="right" vertical="top"/>
    </xf>
    <xf borderId="5" fillId="5" fontId="7" numFmtId="0" xfId="0" applyAlignment="1" applyBorder="1" applyFont="1">
      <alignment horizontal="right" vertical="top"/>
    </xf>
    <xf borderId="5" fillId="5" fontId="9" numFmtId="0" xfId="0" applyAlignment="1" applyBorder="1" applyFont="1">
      <alignment horizontal="right" vertical="top"/>
    </xf>
    <xf borderId="5" fillId="10" fontId="5" numFmtId="0" xfId="0" applyAlignment="1" applyBorder="1" applyFont="1">
      <alignment horizontal="left" vertical="top"/>
    </xf>
    <xf borderId="5" fillId="10" fontId="5" numFmtId="0" xfId="0" applyAlignment="1" applyBorder="1" applyFont="1">
      <alignment horizontal="right" vertical="top"/>
    </xf>
    <xf borderId="5" fillId="10" fontId="7" numFmtId="0" xfId="0" applyAlignment="1" applyBorder="1" applyFont="1">
      <alignment horizontal="right" vertical="top"/>
    </xf>
    <xf borderId="5" fillId="10" fontId="9" numFmtId="0" xfId="0" applyAlignment="1" applyBorder="1" applyFont="1">
      <alignment horizontal="right" vertical="top"/>
    </xf>
    <xf borderId="4" fillId="3" fontId="3" numFmtId="0" xfId="0" applyAlignment="1" applyBorder="1" applyFont="1">
      <alignment horizontal="center" vertical="center"/>
    </xf>
    <xf borderId="0" fillId="0" fontId="6" numFmtId="0" xfId="0" applyAlignment="1" applyFont="1">
      <alignment horizontal="left" shrinkToFit="0" vertical="top" wrapText="1"/>
    </xf>
    <xf borderId="4" fillId="4" fontId="6" numFmtId="0" xfId="0" applyAlignment="1" applyBorder="1" applyFont="1">
      <alignment horizontal="left" shrinkToFit="0" vertical="top" wrapText="1"/>
    </xf>
    <xf borderId="4" fillId="4" fontId="5"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6.0"/>
    <col customWidth="1" min="2" max="3" width="22.0"/>
    <col customWidth="1" min="4" max="5" width="12.0"/>
    <col customWidth="1" min="6" max="6" width="16.0"/>
    <col customWidth="1" min="7" max="7" width="9.0"/>
    <col customWidth="1" min="8" max="9" width="8.0"/>
    <col customWidth="1" min="10" max="10" width="10.0"/>
    <col customWidth="1" min="11" max="12" width="28.0"/>
    <col customWidth="1" min="13" max="13" width="12.0"/>
    <col customWidth="1" min="14" max="15" width="30.0"/>
    <col customWidth="1" min="16" max="17" width="40.0"/>
    <col customWidth="1" min="18" max="19" width="28.0"/>
    <col customWidth="1" min="20" max="20" width="40.0"/>
    <col customWidth="1" min="21" max="21" width="30.0"/>
    <col customWidth="1" min="22" max="22" width="28.0"/>
    <col customWidth="1" min="23" max="28" width="12.0"/>
    <col customWidth="1" min="29" max="29" width="8.0"/>
    <col customWidth="1" min="30" max="33" width="12.0"/>
    <col customWidth="1" min="34" max="34" width="8.0"/>
    <col customWidth="1" min="35" max="35" width="40.0"/>
    <col customWidth="1" min="36" max="38" width="20.0"/>
    <col customWidth="1" min="39" max="39" width="14.0"/>
    <col customWidth="1" min="40" max="43" width="40.0"/>
    <col customWidth="1" min="44" max="44" width="9.0"/>
    <col customWidth="1" min="45" max="45" width="5.0"/>
  </cols>
  <sheetData>
    <row r="1" ht="21.75"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3"/>
    </row>
    <row r="2" ht="36.0"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c r="AF2" s="4" t="s">
        <v>32</v>
      </c>
      <c r="AG2" s="4" t="s">
        <v>33</v>
      </c>
      <c r="AH2" s="4" t="s">
        <v>34</v>
      </c>
      <c r="AI2" s="4" t="s">
        <v>35</v>
      </c>
      <c r="AJ2" s="4" t="s">
        <v>36</v>
      </c>
      <c r="AK2" s="4" t="s">
        <v>37</v>
      </c>
      <c r="AL2" s="4" t="s">
        <v>38</v>
      </c>
      <c r="AM2" s="4" t="s">
        <v>39</v>
      </c>
      <c r="AN2" s="4" t="s">
        <v>40</v>
      </c>
      <c r="AO2" s="4" t="s">
        <v>41</v>
      </c>
      <c r="AP2" s="4" t="s">
        <v>42</v>
      </c>
      <c r="AQ2" s="4" t="s">
        <v>43</v>
      </c>
      <c r="AR2" s="4" t="s">
        <v>44</v>
      </c>
      <c r="AS2" s="4" t="s">
        <v>45</v>
      </c>
    </row>
    <row r="3" ht="79.5" customHeight="1">
      <c r="A3" s="5" t="s">
        <v>46</v>
      </c>
      <c r="B3" s="6" t="s">
        <v>47</v>
      </c>
      <c r="C3" s="6" t="s">
        <v>48</v>
      </c>
      <c r="D3" s="7" t="s">
        <v>49</v>
      </c>
      <c r="E3" s="7" t="s">
        <v>50</v>
      </c>
      <c r="F3" s="6" t="s">
        <v>51</v>
      </c>
      <c r="G3" s="6" t="s">
        <v>52</v>
      </c>
      <c r="H3" s="6">
        <v>6.0</v>
      </c>
      <c r="I3" s="6">
        <v>5.0</v>
      </c>
      <c r="J3" s="8" t="s">
        <v>53</v>
      </c>
      <c r="K3" s="6" t="s">
        <v>54</v>
      </c>
      <c r="L3" s="6" t="s">
        <v>55</v>
      </c>
      <c r="M3" s="6" t="s">
        <v>56</v>
      </c>
      <c r="N3" s="9" t="s">
        <v>57</v>
      </c>
      <c r="O3" s="9" t="s">
        <v>58</v>
      </c>
      <c r="P3" s="10" t="s">
        <v>59</v>
      </c>
      <c r="Q3" s="10" t="s">
        <v>60</v>
      </c>
      <c r="R3" s="10" t="s">
        <v>61</v>
      </c>
      <c r="S3" s="10" t="s">
        <v>62</v>
      </c>
      <c r="T3" s="6" t="s">
        <v>63</v>
      </c>
      <c r="U3" s="6" t="s">
        <v>64</v>
      </c>
      <c r="V3" s="6" t="s">
        <v>65</v>
      </c>
      <c r="W3" s="11">
        <v>62000.0</v>
      </c>
      <c r="X3" s="11">
        <v>72000.0</v>
      </c>
      <c r="Y3" s="6">
        <v>1770.0</v>
      </c>
      <c r="Z3" s="6">
        <v>2060.0</v>
      </c>
      <c r="AA3" s="12">
        <f t="shared" ref="AA3:AB3" si="1">ROUND(W3*0.15,0)</f>
        <v>9300</v>
      </c>
      <c r="AB3" s="12">
        <f t="shared" si="1"/>
        <v>10800</v>
      </c>
      <c r="AC3" s="6">
        <v>5.0</v>
      </c>
      <c r="AD3" s="6">
        <v>6860.0</v>
      </c>
      <c r="AE3" s="6">
        <f t="shared" ref="AE3:AE5" si="3">ROUND(AG3*AH3,0)</f>
        <v>16000000</v>
      </c>
      <c r="AF3" s="6">
        <v>24000.0</v>
      </c>
      <c r="AG3" s="6">
        <v>8000.0</v>
      </c>
      <c r="AH3" s="6">
        <v>2000.0</v>
      </c>
      <c r="AI3" s="6" t="s">
        <v>66</v>
      </c>
      <c r="AJ3" s="6" t="s">
        <v>67</v>
      </c>
      <c r="AK3" s="6" t="s">
        <v>68</v>
      </c>
      <c r="AL3" s="6" t="s">
        <v>69</v>
      </c>
      <c r="AM3" s="6" t="s">
        <v>70</v>
      </c>
      <c r="AN3" s="6" t="s">
        <v>71</v>
      </c>
      <c r="AO3" s="6" t="s">
        <v>72</v>
      </c>
      <c r="AP3" s="6" t="s">
        <v>73</v>
      </c>
      <c r="AQ3" s="6" t="s">
        <v>74</v>
      </c>
      <c r="AR3" s="6" t="s">
        <v>75</v>
      </c>
      <c r="AS3" s="6">
        <v>1.0</v>
      </c>
    </row>
    <row r="4" ht="79.5" customHeight="1">
      <c r="A4" s="5" t="s">
        <v>76</v>
      </c>
      <c r="B4" s="6" t="s">
        <v>77</v>
      </c>
      <c r="C4" s="6" t="s">
        <v>78</v>
      </c>
      <c r="D4" s="7" t="s">
        <v>49</v>
      </c>
      <c r="E4" s="7" t="s">
        <v>50</v>
      </c>
      <c r="F4" s="6" t="s">
        <v>51</v>
      </c>
      <c r="G4" s="6" t="s">
        <v>52</v>
      </c>
      <c r="H4" s="6">
        <v>8.0</v>
      </c>
      <c r="I4" s="6">
        <v>7.0</v>
      </c>
      <c r="J4" s="8" t="s">
        <v>79</v>
      </c>
      <c r="K4" s="6" t="s">
        <v>80</v>
      </c>
      <c r="L4" s="6" t="s">
        <v>81</v>
      </c>
      <c r="M4" s="6" t="s">
        <v>56</v>
      </c>
      <c r="N4" s="9" t="s">
        <v>82</v>
      </c>
      <c r="O4" s="9" t="s">
        <v>83</v>
      </c>
      <c r="P4" s="10" t="s">
        <v>84</v>
      </c>
      <c r="Q4" s="10" t="s">
        <v>85</v>
      </c>
      <c r="R4" s="10" t="s">
        <v>86</v>
      </c>
      <c r="S4" s="10" t="s">
        <v>87</v>
      </c>
      <c r="T4" s="6" t="s">
        <v>88</v>
      </c>
      <c r="U4" s="6" t="s">
        <v>89</v>
      </c>
      <c r="V4" s="6" t="s">
        <v>90</v>
      </c>
      <c r="W4" s="11">
        <v>92000.0</v>
      </c>
      <c r="X4" s="11">
        <v>105000.0</v>
      </c>
      <c r="Y4" s="6">
        <v>2630.0</v>
      </c>
      <c r="Z4" s="6">
        <v>3000.0</v>
      </c>
      <c r="AA4" s="12">
        <f t="shared" ref="AA4:AB4" si="2">ROUND(W4*0.15,0)</f>
        <v>13800</v>
      </c>
      <c r="AB4" s="12">
        <f t="shared" si="2"/>
        <v>15750</v>
      </c>
      <c r="AC4" s="6">
        <v>7.0</v>
      </c>
      <c r="AD4" s="6">
        <v>6860.0</v>
      </c>
      <c r="AE4" s="6">
        <f t="shared" si="3"/>
        <v>28000000</v>
      </c>
      <c r="AF4" s="6">
        <v>37500.0</v>
      </c>
      <c r="AG4" s="6">
        <v>14000.0</v>
      </c>
      <c r="AH4" s="6">
        <v>2000.0</v>
      </c>
      <c r="AI4" s="6" t="s">
        <v>91</v>
      </c>
      <c r="AJ4" s="6" t="s">
        <v>92</v>
      </c>
      <c r="AK4" s="6" t="s">
        <v>68</v>
      </c>
      <c r="AL4" s="6" t="s">
        <v>69</v>
      </c>
      <c r="AM4" s="6" t="s">
        <v>70</v>
      </c>
      <c r="AN4" s="6" t="s">
        <v>93</v>
      </c>
      <c r="AO4" s="6" t="s">
        <v>94</v>
      </c>
      <c r="AP4" s="6" t="s">
        <v>95</v>
      </c>
      <c r="AQ4" s="6" t="s">
        <v>96</v>
      </c>
      <c r="AR4" s="6" t="s">
        <v>75</v>
      </c>
      <c r="AS4" s="6">
        <v>2.0</v>
      </c>
    </row>
    <row r="5" ht="79.5" customHeight="1">
      <c r="A5" s="5" t="s">
        <v>97</v>
      </c>
      <c r="B5" s="6" t="s">
        <v>98</v>
      </c>
      <c r="C5" s="6" t="s">
        <v>99</v>
      </c>
      <c r="D5" s="7" t="s">
        <v>49</v>
      </c>
      <c r="E5" s="7" t="s">
        <v>50</v>
      </c>
      <c r="F5" s="6" t="s">
        <v>51</v>
      </c>
      <c r="G5" s="6" t="s">
        <v>52</v>
      </c>
      <c r="H5" s="6">
        <v>11.0</v>
      </c>
      <c r="I5" s="6">
        <v>10.0</v>
      </c>
      <c r="J5" s="8" t="s">
        <v>100</v>
      </c>
      <c r="K5" s="6" t="s">
        <v>101</v>
      </c>
      <c r="L5" s="6" t="s">
        <v>102</v>
      </c>
      <c r="M5" s="6" t="s">
        <v>103</v>
      </c>
      <c r="N5" s="9" t="s">
        <v>104</v>
      </c>
      <c r="O5" s="9" t="s">
        <v>105</v>
      </c>
      <c r="P5" s="10" t="s">
        <v>106</v>
      </c>
      <c r="Q5" s="10" t="s">
        <v>107</v>
      </c>
      <c r="R5" s="10" t="s">
        <v>108</v>
      </c>
      <c r="S5" s="10" t="s">
        <v>109</v>
      </c>
      <c r="T5" s="6" t="s">
        <v>110</v>
      </c>
      <c r="U5" s="6" t="s">
        <v>111</v>
      </c>
      <c r="V5" s="6" t="s">
        <v>112</v>
      </c>
      <c r="W5" s="11">
        <v>135000.0</v>
      </c>
      <c r="X5" s="11">
        <v>148000.0</v>
      </c>
      <c r="Y5" s="6">
        <v>3860.0</v>
      </c>
      <c r="Z5" s="6">
        <v>4230.0</v>
      </c>
      <c r="AA5" s="12">
        <f t="shared" ref="AA5:AB5" si="4">ROUND(W5*0.15,0)</f>
        <v>20250</v>
      </c>
      <c r="AB5" s="12">
        <f t="shared" si="4"/>
        <v>22200</v>
      </c>
      <c r="AC5" s="6">
        <v>10.0</v>
      </c>
      <c r="AD5" s="6">
        <v>6860.0</v>
      </c>
      <c r="AE5" s="6">
        <f t="shared" si="3"/>
        <v>42000000</v>
      </c>
      <c r="AF5" s="6">
        <v>60000.0</v>
      </c>
      <c r="AG5" s="6">
        <v>21000.0</v>
      </c>
      <c r="AH5" s="6">
        <v>2000.0</v>
      </c>
      <c r="AI5" s="6" t="s">
        <v>113</v>
      </c>
      <c r="AJ5" s="6" t="s">
        <v>114</v>
      </c>
      <c r="AK5" s="6" t="s">
        <v>115</v>
      </c>
      <c r="AL5" s="6" t="s">
        <v>116</v>
      </c>
      <c r="AM5" s="6" t="s">
        <v>117</v>
      </c>
      <c r="AN5" s="6" t="s">
        <v>118</v>
      </c>
      <c r="AO5" s="6" t="s">
        <v>119</v>
      </c>
      <c r="AP5" s="6" t="s">
        <v>120</v>
      </c>
      <c r="AQ5" s="6" t="s">
        <v>121</v>
      </c>
      <c r="AR5" s="6" t="s">
        <v>75</v>
      </c>
      <c r="AS5" s="6">
        <v>3.0</v>
      </c>
    </row>
    <row r="6" ht="79.5" customHeight="1">
      <c r="A6" s="5" t="s">
        <v>122</v>
      </c>
      <c r="B6" s="6" t="s">
        <v>123</v>
      </c>
      <c r="C6" s="6" t="s">
        <v>124</v>
      </c>
      <c r="D6" s="7" t="s">
        <v>125</v>
      </c>
      <c r="E6" s="7" t="s">
        <v>126</v>
      </c>
      <c r="F6" s="6" t="s">
        <v>51</v>
      </c>
      <c r="G6" s="6" t="s">
        <v>52</v>
      </c>
      <c r="H6" s="6">
        <v>6.0</v>
      </c>
      <c r="I6" s="6">
        <v>5.0</v>
      </c>
      <c r="J6" s="8" t="s">
        <v>53</v>
      </c>
      <c r="K6" s="6" t="s">
        <v>127</v>
      </c>
      <c r="L6" s="6" t="s">
        <v>128</v>
      </c>
      <c r="M6" s="6" t="s">
        <v>129</v>
      </c>
      <c r="N6" s="9" t="s">
        <v>130</v>
      </c>
      <c r="O6" s="9" t="s">
        <v>131</v>
      </c>
      <c r="P6" s="10" t="s">
        <v>132</v>
      </c>
      <c r="Q6" s="10" t="s">
        <v>133</v>
      </c>
      <c r="R6" s="10" t="s">
        <v>134</v>
      </c>
      <c r="S6" s="10" t="s">
        <v>135</v>
      </c>
      <c r="T6" s="6" t="s">
        <v>136</v>
      </c>
      <c r="U6" s="6" t="s">
        <v>137</v>
      </c>
      <c r="V6" s="6" t="s">
        <v>138</v>
      </c>
      <c r="W6" s="11">
        <v>65000.0</v>
      </c>
      <c r="X6" s="11">
        <v>80000.0</v>
      </c>
      <c r="Y6" s="6">
        <v>1860.0</v>
      </c>
      <c r="Z6" s="6">
        <v>2290.0</v>
      </c>
      <c r="AA6" s="12">
        <f t="shared" ref="AA6:AB6" si="5">ROUND(W9*0.15,0)</f>
        <v>11250</v>
      </c>
      <c r="AB6" s="12">
        <f t="shared" si="5"/>
        <v>13200</v>
      </c>
      <c r="AC6" s="6">
        <v>5.0</v>
      </c>
      <c r="AD6" s="6">
        <v>6860.0</v>
      </c>
      <c r="AE6" s="6">
        <f t="shared" ref="AE6:AE8" si="7">ROUND(AG9*AH9,0)</f>
        <v>40000000</v>
      </c>
      <c r="AF6" s="6">
        <v>25500.0</v>
      </c>
      <c r="AG6" s="6">
        <v>16000.0</v>
      </c>
      <c r="AH6" s="6">
        <v>2000.0</v>
      </c>
      <c r="AI6" s="6" t="s">
        <v>139</v>
      </c>
      <c r="AJ6" s="6" t="s">
        <v>140</v>
      </c>
      <c r="AK6" s="6" t="s">
        <v>141</v>
      </c>
      <c r="AL6" s="6" t="s">
        <v>142</v>
      </c>
      <c r="AM6" s="6" t="s">
        <v>143</v>
      </c>
      <c r="AN6" s="6" t="s">
        <v>144</v>
      </c>
      <c r="AO6" s="6" t="s">
        <v>145</v>
      </c>
      <c r="AP6" s="6" t="s">
        <v>146</v>
      </c>
      <c r="AQ6" s="6" t="s">
        <v>147</v>
      </c>
      <c r="AR6" s="6" t="s">
        <v>75</v>
      </c>
      <c r="AS6" s="6">
        <v>4.0</v>
      </c>
    </row>
    <row r="7" ht="79.5" customHeight="1">
      <c r="A7" s="5" t="s">
        <v>148</v>
      </c>
      <c r="B7" s="6" t="s">
        <v>149</v>
      </c>
      <c r="C7" s="6" t="s">
        <v>150</v>
      </c>
      <c r="D7" s="7" t="s">
        <v>125</v>
      </c>
      <c r="E7" s="7" t="s">
        <v>126</v>
      </c>
      <c r="F7" s="6" t="s">
        <v>51</v>
      </c>
      <c r="G7" s="6" t="s">
        <v>52</v>
      </c>
      <c r="H7" s="6">
        <v>8.0</v>
      </c>
      <c r="I7" s="6">
        <v>7.0</v>
      </c>
      <c r="J7" s="8" t="s">
        <v>79</v>
      </c>
      <c r="K7" s="6" t="s">
        <v>151</v>
      </c>
      <c r="L7" s="6" t="s">
        <v>152</v>
      </c>
      <c r="M7" s="6" t="s">
        <v>129</v>
      </c>
      <c r="N7" s="9" t="s">
        <v>153</v>
      </c>
      <c r="O7" s="9" t="s">
        <v>154</v>
      </c>
      <c r="P7" s="10" t="s">
        <v>155</v>
      </c>
      <c r="Q7" s="10" t="s">
        <v>156</v>
      </c>
      <c r="R7" s="10" t="s">
        <v>157</v>
      </c>
      <c r="S7" s="10" t="s">
        <v>158</v>
      </c>
      <c r="T7" s="6" t="s">
        <v>159</v>
      </c>
      <c r="U7" s="6" t="s">
        <v>160</v>
      </c>
      <c r="V7" s="6" t="s">
        <v>161</v>
      </c>
      <c r="W7" s="11">
        <v>105000.0</v>
      </c>
      <c r="X7" s="11">
        <v>118000.0</v>
      </c>
      <c r="Y7" s="6">
        <v>3000.0</v>
      </c>
      <c r="Z7" s="6">
        <v>3370.0</v>
      </c>
      <c r="AA7" s="12">
        <f t="shared" ref="AA7:AB7" si="6">ROUND(W10*0.15,0)</f>
        <v>17250</v>
      </c>
      <c r="AB7" s="12">
        <f t="shared" si="6"/>
        <v>19200</v>
      </c>
      <c r="AC7" s="6">
        <v>7.0</v>
      </c>
      <c r="AD7" s="6">
        <v>6860.0</v>
      </c>
      <c r="AE7" s="6">
        <f t="shared" si="7"/>
        <v>66000000</v>
      </c>
      <c r="AF7" s="6">
        <v>49000.0</v>
      </c>
      <c r="AG7" s="6">
        <v>25000.0</v>
      </c>
      <c r="AH7" s="6">
        <v>2000.0</v>
      </c>
      <c r="AI7" s="6" t="s">
        <v>162</v>
      </c>
      <c r="AJ7" s="6" t="s">
        <v>163</v>
      </c>
      <c r="AK7" s="6" t="s">
        <v>164</v>
      </c>
      <c r="AL7" s="6" t="s">
        <v>165</v>
      </c>
      <c r="AM7" s="6" t="s">
        <v>143</v>
      </c>
      <c r="AN7" s="6" t="s">
        <v>166</v>
      </c>
      <c r="AO7" s="6" t="s">
        <v>167</v>
      </c>
      <c r="AP7" s="6" t="s">
        <v>168</v>
      </c>
      <c r="AQ7" s="6" t="s">
        <v>169</v>
      </c>
      <c r="AR7" s="6" t="s">
        <v>75</v>
      </c>
      <c r="AS7" s="6">
        <v>5.0</v>
      </c>
    </row>
    <row r="8" ht="79.5" customHeight="1">
      <c r="A8" s="5" t="s">
        <v>170</v>
      </c>
      <c r="B8" s="6" t="s">
        <v>171</v>
      </c>
      <c r="C8" s="6" t="s">
        <v>172</v>
      </c>
      <c r="D8" s="7" t="s">
        <v>125</v>
      </c>
      <c r="E8" s="7" t="s">
        <v>126</v>
      </c>
      <c r="F8" s="6" t="s">
        <v>51</v>
      </c>
      <c r="G8" s="6" t="s">
        <v>52</v>
      </c>
      <c r="H8" s="6">
        <v>11.0</v>
      </c>
      <c r="I8" s="6">
        <v>10.0</v>
      </c>
      <c r="J8" s="8" t="s">
        <v>100</v>
      </c>
      <c r="K8" s="6" t="s">
        <v>173</v>
      </c>
      <c r="L8" s="6" t="s">
        <v>174</v>
      </c>
      <c r="M8" s="6" t="s">
        <v>175</v>
      </c>
      <c r="N8" s="9" t="s">
        <v>176</v>
      </c>
      <c r="O8" s="9" t="s">
        <v>177</v>
      </c>
      <c r="P8" s="10" t="s">
        <v>178</v>
      </c>
      <c r="Q8" s="10" t="s">
        <v>179</v>
      </c>
      <c r="R8" s="10"/>
      <c r="S8" s="10"/>
      <c r="T8" s="6" t="s">
        <v>180</v>
      </c>
      <c r="U8" s="6" t="s">
        <v>181</v>
      </c>
      <c r="V8" s="6" t="s">
        <v>182</v>
      </c>
      <c r="W8" s="11">
        <v>158000.0</v>
      </c>
      <c r="X8" s="11">
        <v>172000.0</v>
      </c>
      <c r="Y8" s="6">
        <v>4510.0</v>
      </c>
      <c r="Z8" s="6">
        <v>4910.0</v>
      </c>
      <c r="AA8" s="12">
        <f t="shared" ref="AA8:AB8" si="8">ROUND(W11*0.15,0)</f>
        <v>29700</v>
      </c>
      <c r="AB8" s="12">
        <f t="shared" si="8"/>
        <v>32250</v>
      </c>
      <c r="AC8" s="6">
        <v>10.0</v>
      </c>
      <c r="AD8" s="6">
        <v>6860.0</v>
      </c>
      <c r="AE8" s="6">
        <f t="shared" si="7"/>
        <v>156000000</v>
      </c>
      <c r="AF8" s="6">
        <v>79500.0</v>
      </c>
      <c r="AG8" s="6">
        <v>42000.0</v>
      </c>
      <c r="AH8" s="6">
        <v>2000.0</v>
      </c>
      <c r="AI8" s="6" t="s">
        <v>183</v>
      </c>
      <c r="AJ8" s="6" t="s">
        <v>184</v>
      </c>
      <c r="AK8" s="6" t="s">
        <v>185</v>
      </c>
      <c r="AL8" s="6" t="s">
        <v>164</v>
      </c>
      <c r="AM8" s="6" t="s">
        <v>186</v>
      </c>
      <c r="AN8" s="6" t="s">
        <v>187</v>
      </c>
      <c r="AO8" s="6" t="s">
        <v>188</v>
      </c>
      <c r="AP8" s="6" t="s">
        <v>189</v>
      </c>
      <c r="AQ8" s="6" t="s">
        <v>190</v>
      </c>
      <c r="AR8" s="6" t="s">
        <v>75</v>
      </c>
      <c r="AS8" s="6">
        <v>6.0</v>
      </c>
    </row>
    <row r="9" ht="79.5" customHeight="1">
      <c r="A9" s="5" t="s">
        <v>191</v>
      </c>
      <c r="B9" s="6" t="s">
        <v>192</v>
      </c>
      <c r="C9" s="6" t="s">
        <v>193</v>
      </c>
      <c r="D9" s="7" t="s">
        <v>194</v>
      </c>
      <c r="E9" s="7" t="s">
        <v>195</v>
      </c>
      <c r="F9" s="6" t="s">
        <v>196</v>
      </c>
      <c r="G9" s="6" t="s">
        <v>52</v>
      </c>
      <c r="H9" s="6">
        <v>6.0</v>
      </c>
      <c r="I9" s="6">
        <v>5.0</v>
      </c>
      <c r="J9" s="8" t="s">
        <v>53</v>
      </c>
      <c r="K9" s="6" t="s">
        <v>197</v>
      </c>
      <c r="L9" s="6" t="s">
        <v>198</v>
      </c>
      <c r="M9" s="6" t="s">
        <v>199</v>
      </c>
      <c r="N9" s="9" t="s">
        <v>200</v>
      </c>
      <c r="O9" s="9" t="s">
        <v>201</v>
      </c>
      <c r="P9" s="10" t="s">
        <v>202</v>
      </c>
      <c r="Q9" s="10" t="s">
        <v>203</v>
      </c>
      <c r="R9" s="10" t="s">
        <v>204</v>
      </c>
      <c r="S9" s="10" t="s">
        <v>205</v>
      </c>
      <c r="T9" s="6" t="s">
        <v>206</v>
      </c>
      <c r="U9" s="6" t="s">
        <v>207</v>
      </c>
      <c r="V9" s="6" t="s">
        <v>208</v>
      </c>
      <c r="W9" s="11">
        <v>75000.0</v>
      </c>
      <c r="X9" s="11">
        <v>88000.0</v>
      </c>
      <c r="Y9" s="6">
        <v>2140.0</v>
      </c>
      <c r="Z9" s="6">
        <v>2510.0</v>
      </c>
      <c r="AA9" s="12">
        <f t="shared" ref="AA9:AB9" si="9">ROUND(W15*0.15,0)</f>
        <v>9750</v>
      </c>
      <c r="AB9" s="12">
        <f t="shared" si="9"/>
        <v>12300</v>
      </c>
      <c r="AC9" s="6">
        <v>5.0</v>
      </c>
      <c r="AD9" s="6">
        <v>6860.0</v>
      </c>
      <c r="AE9" s="6">
        <f t="shared" ref="AE9:AE11" si="11">ROUND(AG15*AH15,0)</f>
        <v>28000000</v>
      </c>
      <c r="AF9" s="6">
        <v>34800.0</v>
      </c>
      <c r="AG9" s="6">
        <v>20000.0</v>
      </c>
      <c r="AH9" s="6">
        <v>2000.0</v>
      </c>
      <c r="AI9" s="6" t="s">
        <v>209</v>
      </c>
      <c r="AJ9" s="6" t="s">
        <v>210</v>
      </c>
      <c r="AK9" s="6" t="s">
        <v>211</v>
      </c>
      <c r="AL9" s="6" t="s">
        <v>212</v>
      </c>
      <c r="AM9" s="6" t="s">
        <v>213</v>
      </c>
      <c r="AN9" s="6" t="s">
        <v>214</v>
      </c>
      <c r="AO9" s="6" t="s">
        <v>215</v>
      </c>
      <c r="AP9" s="6" t="s">
        <v>216</v>
      </c>
      <c r="AQ9" s="6" t="s">
        <v>217</v>
      </c>
      <c r="AR9" s="6" t="s">
        <v>75</v>
      </c>
      <c r="AS9" s="6">
        <v>7.0</v>
      </c>
    </row>
    <row r="10" ht="79.5" customHeight="1">
      <c r="A10" s="5" t="s">
        <v>218</v>
      </c>
      <c r="B10" s="6" t="s">
        <v>219</v>
      </c>
      <c r="C10" s="6" t="s">
        <v>220</v>
      </c>
      <c r="D10" s="7" t="s">
        <v>194</v>
      </c>
      <c r="E10" s="7" t="s">
        <v>195</v>
      </c>
      <c r="F10" s="6" t="s">
        <v>196</v>
      </c>
      <c r="G10" s="6" t="s">
        <v>52</v>
      </c>
      <c r="H10" s="6">
        <v>8.0</v>
      </c>
      <c r="I10" s="6">
        <v>7.0</v>
      </c>
      <c r="J10" s="8" t="s">
        <v>79</v>
      </c>
      <c r="K10" s="6" t="s">
        <v>221</v>
      </c>
      <c r="L10" s="6" t="s">
        <v>222</v>
      </c>
      <c r="M10" s="6" t="s">
        <v>199</v>
      </c>
      <c r="N10" s="9" t="s">
        <v>223</v>
      </c>
      <c r="O10" s="9" t="s">
        <v>224</v>
      </c>
      <c r="P10" s="10" t="s">
        <v>225</v>
      </c>
      <c r="Q10" s="10" t="s">
        <v>226</v>
      </c>
      <c r="R10" s="10" t="s">
        <v>227</v>
      </c>
      <c r="S10" s="10" t="s">
        <v>228</v>
      </c>
      <c r="T10" s="6" t="s">
        <v>229</v>
      </c>
      <c r="U10" s="6" t="s">
        <v>230</v>
      </c>
      <c r="V10" s="6" t="s">
        <v>231</v>
      </c>
      <c r="W10" s="11">
        <v>115000.0</v>
      </c>
      <c r="X10" s="11">
        <v>128000.0</v>
      </c>
      <c r="Y10" s="6">
        <v>3290.0</v>
      </c>
      <c r="Z10" s="6">
        <v>3660.0</v>
      </c>
      <c r="AA10" s="12">
        <f t="shared" ref="AA10:AB10" si="10">ROUND(W16*0.15,0)</f>
        <v>15300</v>
      </c>
      <c r="AB10" s="12">
        <f t="shared" si="10"/>
        <v>17700</v>
      </c>
      <c r="AC10" s="6">
        <v>7.0</v>
      </c>
      <c r="AD10" s="6">
        <v>6860.0</v>
      </c>
      <c r="AE10" s="6">
        <f t="shared" si="11"/>
        <v>48000000</v>
      </c>
      <c r="AF10" s="6">
        <v>56800.0</v>
      </c>
      <c r="AG10" s="6">
        <v>33000.0</v>
      </c>
      <c r="AH10" s="6">
        <v>2000.0</v>
      </c>
      <c r="AI10" s="6" t="s">
        <v>232</v>
      </c>
      <c r="AJ10" s="6" t="s">
        <v>233</v>
      </c>
      <c r="AK10" s="6" t="s">
        <v>234</v>
      </c>
      <c r="AL10" s="6" t="s">
        <v>235</v>
      </c>
      <c r="AM10" s="6" t="s">
        <v>213</v>
      </c>
      <c r="AN10" s="6" t="s">
        <v>236</v>
      </c>
      <c r="AO10" s="6" t="s">
        <v>237</v>
      </c>
      <c r="AP10" s="6" t="s">
        <v>238</v>
      </c>
      <c r="AQ10" s="6" t="s">
        <v>239</v>
      </c>
      <c r="AR10" s="6" t="s">
        <v>75</v>
      </c>
      <c r="AS10" s="6">
        <v>8.0</v>
      </c>
    </row>
    <row r="11" ht="79.5" customHeight="1">
      <c r="A11" s="5" t="s">
        <v>240</v>
      </c>
      <c r="B11" s="6" t="s">
        <v>241</v>
      </c>
      <c r="C11" s="6" t="s">
        <v>242</v>
      </c>
      <c r="D11" s="7" t="s">
        <v>194</v>
      </c>
      <c r="E11" s="7" t="s">
        <v>195</v>
      </c>
      <c r="F11" s="6" t="s">
        <v>196</v>
      </c>
      <c r="G11" s="6" t="s">
        <v>52</v>
      </c>
      <c r="H11" s="6">
        <v>11.0</v>
      </c>
      <c r="I11" s="6">
        <v>10.0</v>
      </c>
      <c r="J11" s="8" t="s">
        <v>100</v>
      </c>
      <c r="K11" s="6" t="s">
        <v>243</v>
      </c>
      <c r="L11" s="6" t="s">
        <v>244</v>
      </c>
      <c r="M11" s="6" t="s">
        <v>245</v>
      </c>
      <c r="N11" s="9" t="s">
        <v>246</v>
      </c>
      <c r="O11" s="9" t="s">
        <v>247</v>
      </c>
      <c r="P11" s="10" t="s">
        <v>248</v>
      </c>
      <c r="Q11" s="10" t="s">
        <v>249</v>
      </c>
      <c r="R11" s="10" t="s">
        <v>250</v>
      </c>
      <c r="S11" s="10" t="s">
        <v>251</v>
      </c>
      <c r="T11" s="6" t="s">
        <v>252</v>
      </c>
      <c r="U11" s="6" t="s">
        <v>253</v>
      </c>
      <c r="V11" s="6" t="s">
        <v>254</v>
      </c>
      <c r="W11" s="11">
        <v>198000.0</v>
      </c>
      <c r="X11" s="11">
        <v>215000.0</v>
      </c>
      <c r="Y11" s="6">
        <v>5660.0</v>
      </c>
      <c r="Z11" s="6">
        <v>6140.0</v>
      </c>
      <c r="AA11" s="12">
        <f t="shared" ref="AA11:AB11" si="12">ROUND(W17*0.15,0)</f>
        <v>25800</v>
      </c>
      <c r="AB11" s="12">
        <f t="shared" si="12"/>
        <v>27750</v>
      </c>
      <c r="AC11" s="6">
        <v>10.0</v>
      </c>
      <c r="AD11" s="6">
        <v>6860.0</v>
      </c>
      <c r="AE11" s="6">
        <f t="shared" si="11"/>
        <v>96000000</v>
      </c>
      <c r="AF11" s="6">
        <v>118398.0</v>
      </c>
      <c r="AG11" s="6">
        <v>78000.0</v>
      </c>
      <c r="AH11" s="6">
        <v>2000.0</v>
      </c>
      <c r="AI11" s="6" t="s">
        <v>255</v>
      </c>
      <c r="AJ11" s="6" t="s">
        <v>256</v>
      </c>
      <c r="AK11" s="6" t="s">
        <v>257</v>
      </c>
      <c r="AL11" s="6" t="s">
        <v>258</v>
      </c>
      <c r="AM11" s="6" t="s">
        <v>213</v>
      </c>
      <c r="AN11" s="6" t="s">
        <v>259</v>
      </c>
      <c r="AO11" s="6" t="s">
        <v>260</v>
      </c>
      <c r="AP11" s="6" t="s">
        <v>261</v>
      </c>
      <c r="AQ11" s="6" t="s">
        <v>262</v>
      </c>
      <c r="AR11" s="6" t="s">
        <v>75</v>
      </c>
      <c r="AS11" s="6">
        <v>9.0</v>
      </c>
    </row>
    <row r="12" ht="79.5" customHeight="1">
      <c r="A12" s="5" t="s">
        <v>263</v>
      </c>
      <c r="B12" s="6" t="s">
        <v>264</v>
      </c>
      <c r="C12" s="6" t="s">
        <v>265</v>
      </c>
      <c r="D12" s="7" t="s">
        <v>266</v>
      </c>
      <c r="E12" s="7" t="s">
        <v>267</v>
      </c>
      <c r="F12" s="6" t="s">
        <v>51</v>
      </c>
      <c r="G12" s="6" t="s">
        <v>52</v>
      </c>
      <c r="H12" s="6">
        <v>6.0</v>
      </c>
      <c r="I12" s="6">
        <v>5.0</v>
      </c>
      <c r="J12" s="8" t="s">
        <v>53</v>
      </c>
      <c r="K12" s="6" t="s">
        <v>268</v>
      </c>
      <c r="L12" s="6" t="s">
        <v>269</v>
      </c>
      <c r="M12" s="6" t="s">
        <v>270</v>
      </c>
      <c r="N12" s="9" t="s">
        <v>271</v>
      </c>
      <c r="O12" s="9" t="s">
        <v>272</v>
      </c>
      <c r="P12" s="10" t="s">
        <v>273</v>
      </c>
      <c r="Q12" s="10" t="s">
        <v>274</v>
      </c>
      <c r="R12" s="10" t="s">
        <v>275</v>
      </c>
      <c r="S12" s="10" t="s">
        <v>276</v>
      </c>
      <c r="T12" s="6" t="s">
        <v>277</v>
      </c>
      <c r="U12" s="6" t="s">
        <v>278</v>
      </c>
      <c r="V12" s="6" t="s">
        <v>279</v>
      </c>
      <c r="W12" s="11">
        <v>62000.0</v>
      </c>
      <c r="X12" s="11">
        <v>75000.0</v>
      </c>
      <c r="Y12" s="6">
        <v>1770.0</v>
      </c>
      <c r="Z12" s="6">
        <v>2140.0</v>
      </c>
      <c r="AA12" s="12">
        <f t="shared" ref="AA12:AB12" si="13">ROUND(W21*0.15,0)</f>
        <v>0</v>
      </c>
      <c r="AB12" s="12">
        <f t="shared" si="13"/>
        <v>0</v>
      </c>
      <c r="AC12" s="6">
        <v>5.0</v>
      </c>
      <c r="AD12" s="6">
        <v>6860.0</v>
      </c>
      <c r="AE12" s="6">
        <f t="shared" ref="AE12:AE14" si="15">ROUND(AG21*AH21,0)</f>
        <v>0</v>
      </c>
      <c r="AF12" s="6">
        <v>22400.0</v>
      </c>
      <c r="AG12" s="6">
        <v>9000.0</v>
      </c>
      <c r="AH12" s="6">
        <v>2000.0</v>
      </c>
      <c r="AI12" s="6" t="s">
        <v>280</v>
      </c>
      <c r="AJ12" s="6" t="s">
        <v>212</v>
      </c>
      <c r="AK12" s="6" t="s">
        <v>281</v>
      </c>
      <c r="AL12" s="6" t="s">
        <v>282</v>
      </c>
      <c r="AM12" s="6" t="s">
        <v>70</v>
      </c>
      <c r="AN12" s="6" t="s">
        <v>283</v>
      </c>
      <c r="AO12" s="6" t="s">
        <v>284</v>
      </c>
      <c r="AP12" s="6" t="s">
        <v>285</v>
      </c>
      <c r="AQ12" s="6" t="s">
        <v>286</v>
      </c>
      <c r="AR12" s="6" t="s">
        <v>75</v>
      </c>
      <c r="AS12" s="6">
        <v>10.0</v>
      </c>
    </row>
    <row r="13" ht="79.5" customHeight="1">
      <c r="A13" s="5" t="s">
        <v>287</v>
      </c>
      <c r="B13" s="6" t="s">
        <v>288</v>
      </c>
      <c r="C13" s="6" t="s">
        <v>289</v>
      </c>
      <c r="D13" s="7" t="s">
        <v>266</v>
      </c>
      <c r="E13" s="7" t="s">
        <v>267</v>
      </c>
      <c r="F13" s="6" t="s">
        <v>51</v>
      </c>
      <c r="G13" s="6" t="s">
        <v>52</v>
      </c>
      <c r="H13" s="6">
        <v>8.0</v>
      </c>
      <c r="I13" s="6">
        <v>7.0</v>
      </c>
      <c r="J13" s="8" t="s">
        <v>79</v>
      </c>
      <c r="K13" s="6" t="s">
        <v>290</v>
      </c>
      <c r="L13" s="6" t="s">
        <v>291</v>
      </c>
      <c r="M13" s="6" t="s">
        <v>270</v>
      </c>
      <c r="N13" s="9" t="s">
        <v>292</v>
      </c>
      <c r="O13" s="9" t="s">
        <v>293</v>
      </c>
      <c r="P13" s="10" t="s">
        <v>294</v>
      </c>
      <c r="Q13" s="10" t="s">
        <v>295</v>
      </c>
      <c r="R13" s="10" t="s">
        <v>296</v>
      </c>
      <c r="S13" s="10" t="s">
        <v>297</v>
      </c>
      <c r="T13" s="6" t="s">
        <v>298</v>
      </c>
      <c r="U13" s="6" t="s">
        <v>299</v>
      </c>
      <c r="V13" s="6" t="s">
        <v>300</v>
      </c>
      <c r="W13" s="11">
        <v>99000.0</v>
      </c>
      <c r="X13" s="11">
        <v>112000.0</v>
      </c>
      <c r="Y13" s="6">
        <v>2830.0</v>
      </c>
      <c r="Z13" s="6">
        <v>3200.0</v>
      </c>
      <c r="AA13" s="12">
        <f t="shared" ref="AA13:AB13" si="14">ROUND(W22*0.15,0)</f>
        <v>0</v>
      </c>
      <c r="AB13" s="12">
        <f t="shared" si="14"/>
        <v>0</v>
      </c>
      <c r="AC13" s="6">
        <v>7.0</v>
      </c>
      <c r="AD13" s="6">
        <v>6860.0</v>
      </c>
      <c r="AE13" s="6">
        <f t="shared" si="15"/>
        <v>0</v>
      </c>
      <c r="AF13" s="6">
        <v>41700.0</v>
      </c>
      <c r="AG13" s="6">
        <v>18000.0</v>
      </c>
      <c r="AH13" s="6">
        <v>2000.0</v>
      </c>
      <c r="AI13" s="6" t="s">
        <v>301</v>
      </c>
      <c r="AJ13" s="6" t="s">
        <v>302</v>
      </c>
      <c r="AK13" s="6" t="s">
        <v>303</v>
      </c>
      <c r="AL13" s="6" t="s">
        <v>304</v>
      </c>
      <c r="AM13" s="6" t="s">
        <v>70</v>
      </c>
      <c r="AN13" s="6" t="s">
        <v>305</v>
      </c>
      <c r="AO13" s="6" t="s">
        <v>306</v>
      </c>
      <c r="AP13" s="6" t="s">
        <v>307</v>
      </c>
      <c r="AQ13" s="6" t="s">
        <v>308</v>
      </c>
      <c r="AR13" s="6" t="s">
        <v>75</v>
      </c>
      <c r="AS13" s="6">
        <v>11.0</v>
      </c>
    </row>
    <row r="14" ht="79.5" customHeight="1">
      <c r="A14" s="5" t="s">
        <v>309</v>
      </c>
      <c r="B14" s="6" t="s">
        <v>310</v>
      </c>
      <c r="C14" s="6" t="s">
        <v>311</v>
      </c>
      <c r="D14" s="7" t="s">
        <v>266</v>
      </c>
      <c r="E14" s="7" t="s">
        <v>267</v>
      </c>
      <c r="F14" s="6" t="s">
        <v>51</v>
      </c>
      <c r="G14" s="6" t="s">
        <v>52</v>
      </c>
      <c r="H14" s="6">
        <v>11.0</v>
      </c>
      <c r="I14" s="6">
        <v>10.0</v>
      </c>
      <c r="J14" s="8" t="s">
        <v>100</v>
      </c>
      <c r="K14" s="6" t="s">
        <v>312</v>
      </c>
      <c r="L14" s="6" t="s">
        <v>313</v>
      </c>
      <c r="M14" s="6" t="s">
        <v>314</v>
      </c>
      <c r="N14" s="9" t="s">
        <v>315</v>
      </c>
      <c r="O14" s="9" t="s">
        <v>316</v>
      </c>
      <c r="P14" s="10" t="s">
        <v>317</v>
      </c>
      <c r="Q14" s="10" t="s">
        <v>318</v>
      </c>
      <c r="R14" s="10" t="s">
        <v>319</v>
      </c>
      <c r="S14" s="10" t="s">
        <v>320</v>
      </c>
      <c r="T14" s="6" t="s">
        <v>321</v>
      </c>
      <c r="U14" s="6" t="s">
        <v>322</v>
      </c>
      <c r="V14" s="6" t="s">
        <v>323</v>
      </c>
      <c r="W14" s="11">
        <v>148000.0</v>
      </c>
      <c r="X14" s="11">
        <v>162000.0</v>
      </c>
      <c r="Y14" s="6">
        <v>4230.0</v>
      </c>
      <c r="Z14" s="6">
        <v>4630.0</v>
      </c>
      <c r="AA14" s="12">
        <f t="shared" ref="AA14:AB14" si="16">ROUND(W23*0.15,0)</f>
        <v>0</v>
      </c>
      <c r="AB14" s="12">
        <f t="shared" si="16"/>
        <v>0</v>
      </c>
      <c r="AC14" s="6">
        <v>10.0</v>
      </c>
      <c r="AD14" s="6">
        <v>6860.0</v>
      </c>
      <c r="AE14" s="6">
        <f t="shared" si="15"/>
        <v>0</v>
      </c>
      <c r="AF14" s="6">
        <v>68350.0</v>
      </c>
      <c r="AG14" s="6">
        <v>31000.0</v>
      </c>
      <c r="AH14" s="6">
        <v>2000.0</v>
      </c>
      <c r="AI14" s="6" t="s">
        <v>324</v>
      </c>
      <c r="AJ14" s="6" t="s">
        <v>325</v>
      </c>
      <c r="AK14" s="6" t="s">
        <v>114</v>
      </c>
      <c r="AL14" s="6" t="s">
        <v>115</v>
      </c>
      <c r="AM14" s="6" t="s">
        <v>70</v>
      </c>
      <c r="AN14" s="6" t="s">
        <v>326</v>
      </c>
      <c r="AO14" s="6" t="s">
        <v>327</v>
      </c>
      <c r="AP14" s="6" t="s">
        <v>328</v>
      </c>
      <c r="AQ14" s="6" t="s">
        <v>329</v>
      </c>
      <c r="AR14" s="6" t="s">
        <v>75</v>
      </c>
      <c r="AS14" s="6">
        <v>12.0</v>
      </c>
    </row>
    <row r="15" ht="79.5" customHeight="1">
      <c r="A15" s="5" t="s">
        <v>330</v>
      </c>
      <c r="B15" s="6" t="s">
        <v>331</v>
      </c>
      <c r="C15" s="6" t="s">
        <v>332</v>
      </c>
      <c r="D15" s="7" t="s">
        <v>333</v>
      </c>
      <c r="E15" s="7" t="s">
        <v>334</v>
      </c>
      <c r="F15" s="6" t="s">
        <v>51</v>
      </c>
      <c r="G15" s="6" t="s">
        <v>52</v>
      </c>
      <c r="H15" s="6">
        <v>6.0</v>
      </c>
      <c r="I15" s="6">
        <v>5.0</v>
      </c>
      <c r="J15" s="8" t="s">
        <v>53</v>
      </c>
      <c r="K15" s="6" t="s">
        <v>335</v>
      </c>
      <c r="L15" s="6" t="s">
        <v>336</v>
      </c>
      <c r="M15" s="6" t="s">
        <v>337</v>
      </c>
      <c r="N15" s="9" t="s">
        <v>338</v>
      </c>
      <c r="O15" s="9" t="s">
        <v>339</v>
      </c>
      <c r="P15" s="10" t="s">
        <v>340</v>
      </c>
      <c r="Q15" s="10" t="s">
        <v>341</v>
      </c>
      <c r="R15" s="10" t="s">
        <v>342</v>
      </c>
      <c r="S15" s="10" t="s">
        <v>343</v>
      </c>
      <c r="T15" s="6" t="s">
        <v>344</v>
      </c>
      <c r="U15" s="6" t="s">
        <v>345</v>
      </c>
      <c r="V15" s="6" t="s">
        <v>346</v>
      </c>
      <c r="W15" s="11">
        <v>65000.0</v>
      </c>
      <c r="X15" s="11">
        <v>82000.0</v>
      </c>
      <c r="Y15" s="6">
        <v>1860.0</v>
      </c>
      <c r="Z15" s="6">
        <v>2340.0</v>
      </c>
      <c r="AA15" s="12">
        <f t="shared" ref="AA15:AB15" si="17">ROUND(W27*0.15,0)</f>
        <v>0</v>
      </c>
      <c r="AB15" s="12">
        <f t="shared" si="17"/>
        <v>0</v>
      </c>
      <c r="AC15" s="6">
        <v>5.0</v>
      </c>
      <c r="AD15" s="6">
        <v>6860.0</v>
      </c>
      <c r="AE15" s="6">
        <f t="shared" ref="AE15:AE17" si="19">ROUND(AG27*AH27,0)</f>
        <v>0</v>
      </c>
      <c r="AF15" s="6">
        <v>23900.0</v>
      </c>
      <c r="AG15" s="6">
        <v>14000.0</v>
      </c>
      <c r="AH15" s="6">
        <v>2000.0</v>
      </c>
      <c r="AI15" s="6" t="s">
        <v>347</v>
      </c>
      <c r="AJ15" s="6" t="s">
        <v>348</v>
      </c>
      <c r="AK15" s="6" t="s">
        <v>349</v>
      </c>
      <c r="AL15" s="6" t="s">
        <v>350</v>
      </c>
      <c r="AM15" s="6" t="s">
        <v>351</v>
      </c>
      <c r="AN15" s="6" t="s">
        <v>352</v>
      </c>
      <c r="AO15" s="6" t="s">
        <v>353</v>
      </c>
      <c r="AP15" s="6" t="s">
        <v>354</v>
      </c>
      <c r="AQ15" s="6" t="s">
        <v>355</v>
      </c>
      <c r="AR15" s="6" t="s">
        <v>75</v>
      </c>
      <c r="AS15" s="6">
        <v>13.0</v>
      </c>
    </row>
    <row r="16" ht="79.5" customHeight="1">
      <c r="A16" s="5" t="s">
        <v>356</v>
      </c>
      <c r="B16" s="6" t="s">
        <v>357</v>
      </c>
      <c r="C16" s="6" t="s">
        <v>358</v>
      </c>
      <c r="D16" s="7" t="s">
        <v>333</v>
      </c>
      <c r="E16" s="7" t="s">
        <v>334</v>
      </c>
      <c r="F16" s="6" t="s">
        <v>51</v>
      </c>
      <c r="G16" s="6" t="s">
        <v>52</v>
      </c>
      <c r="H16" s="6">
        <v>8.0</v>
      </c>
      <c r="I16" s="6">
        <v>7.0</v>
      </c>
      <c r="J16" s="8" t="s">
        <v>79</v>
      </c>
      <c r="K16" s="6" t="s">
        <v>359</v>
      </c>
      <c r="L16" s="6" t="s">
        <v>360</v>
      </c>
      <c r="M16" s="6" t="s">
        <v>337</v>
      </c>
      <c r="N16" s="9" t="s">
        <v>361</v>
      </c>
      <c r="O16" s="9" t="s">
        <v>362</v>
      </c>
      <c r="P16" s="10" t="s">
        <v>363</v>
      </c>
      <c r="Q16" s="10" t="s">
        <v>364</v>
      </c>
      <c r="R16" s="10" t="s">
        <v>365</v>
      </c>
      <c r="S16" s="10" t="s">
        <v>366</v>
      </c>
      <c r="T16" s="6" t="s">
        <v>367</v>
      </c>
      <c r="U16" s="6" t="s">
        <v>368</v>
      </c>
      <c r="V16" s="6" t="s">
        <v>369</v>
      </c>
      <c r="W16" s="11">
        <v>102000.0</v>
      </c>
      <c r="X16" s="11">
        <v>118000.0</v>
      </c>
      <c r="Y16" s="6">
        <v>2910.0</v>
      </c>
      <c r="Z16" s="6">
        <v>3370.0</v>
      </c>
      <c r="AA16" s="12">
        <f t="shared" ref="AA16:AB16" si="18">ROUND(W28*0.15,0)</f>
        <v>0</v>
      </c>
      <c r="AB16" s="12">
        <f t="shared" si="18"/>
        <v>0</v>
      </c>
      <c r="AC16" s="6">
        <v>7.0</v>
      </c>
      <c r="AD16" s="6">
        <v>6860.0</v>
      </c>
      <c r="AE16" s="6">
        <f t="shared" si="19"/>
        <v>0</v>
      </c>
      <c r="AF16" s="6">
        <v>44200.0</v>
      </c>
      <c r="AG16" s="6">
        <v>24000.0</v>
      </c>
      <c r="AH16" s="6">
        <v>2000.0</v>
      </c>
      <c r="AI16" s="6" t="s">
        <v>370</v>
      </c>
      <c r="AJ16" s="6" t="s">
        <v>348</v>
      </c>
      <c r="AK16" s="6" t="s">
        <v>349</v>
      </c>
      <c r="AL16" s="6" t="s">
        <v>371</v>
      </c>
      <c r="AM16" s="6" t="s">
        <v>351</v>
      </c>
      <c r="AN16" s="6" t="s">
        <v>372</v>
      </c>
      <c r="AO16" s="6" t="s">
        <v>373</v>
      </c>
      <c r="AP16" s="6" t="s">
        <v>374</v>
      </c>
      <c r="AQ16" s="6" t="s">
        <v>375</v>
      </c>
      <c r="AR16" s="6" t="s">
        <v>75</v>
      </c>
      <c r="AS16" s="6">
        <v>14.0</v>
      </c>
    </row>
    <row r="17" ht="79.5" customHeight="1">
      <c r="A17" s="5" t="s">
        <v>376</v>
      </c>
      <c r="B17" s="6" t="s">
        <v>377</v>
      </c>
      <c r="C17" s="6" t="s">
        <v>378</v>
      </c>
      <c r="D17" s="7" t="s">
        <v>333</v>
      </c>
      <c r="E17" s="7" t="s">
        <v>334</v>
      </c>
      <c r="F17" s="6" t="s">
        <v>51</v>
      </c>
      <c r="G17" s="6" t="s">
        <v>52</v>
      </c>
      <c r="H17" s="6">
        <v>11.0</v>
      </c>
      <c r="I17" s="6">
        <v>10.0</v>
      </c>
      <c r="J17" s="8" t="s">
        <v>100</v>
      </c>
      <c r="K17" s="6" t="s">
        <v>379</v>
      </c>
      <c r="L17" s="6" t="s">
        <v>380</v>
      </c>
      <c r="M17" s="6" t="s">
        <v>381</v>
      </c>
      <c r="N17" s="9" t="s">
        <v>382</v>
      </c>
      <c r="O17" s="9" t="s">
        <v>383</v>
      </c>
      <c r="P17" s="10" t="s">
        <v>384</v>
      </c>
      <c r="Q17" s="10" t="s">
        <v>385</v>
      </c>
      <c r="R17" s="10" t="s">
        <v>386</v>
      </c>
      <c r="S17" s="10" t="s">
        <v>387</v>
      </c>
      <c r="T17" s="6" t="s">
        <v>388</v>
      </c>
      <c r="U17" s="6" t="s">
        <v>389</v>
      </c>
      <c r="V17" s="6" t="s">
        <v>390</v>
      </c>
      <c r="W17" s="11">
        <v>172000.0</v>
      </c>
      <c r="X17" s="11">
        <v>185000.0</v>
      </c>
      <c r="Y17" s="6">
        <v>4910.0</v>
      </c>
      <c r="Z17" s="6">
        <v>5290.0</v>
      </c>
      <c r="AA17" s="12">
        <f t="shared" ref="AA17:AB17" si="20">ROUND(W29*0.15,0)</f>
        <v>0</v>
      </c>
      <c r="AB17" s="12">
        <f t="shared" si="20"/>
        <v>0</v>
      </c>
      <c r="AC17" s="6">
        <v>10.0</v>
      </c>
      <c r="AD17" s="6">
        <v>6860.0</v>
      </c>
      <c r="AE17" s="6">
        <f t="shared" si="19"/>
        <v>0</v>
      </c>
      <c r="AF17" s="6">
        <v>90400.0</v>
      </c>
      <c r="AG17" s="6">
        <v>48000.0</v>
      </c>
      <c r="AH17" s="6">
        <v>2000.0</v>
      </c>
      <c r="AI17" s="6" t="s">
        <v>391</v>
      </c>
      <c r="AJ17" s="6" t="s">
        <v>392</v>
      </c>
      <c r="AK17" s="6" t="s">
        <v>393</v>
      </c>
      <c r="AL17" s="6" t="s">
        <v>371</v>
      </c>
      <c r="AM17" s="6" t="s">
        <v>351</v>
      </c>
      <c r="AN17" s="6" t="s">
        <v>394</v>
      </c>
      <c r="AO17" s="6" t="s">
        <v>395</v>
      </c>
      <c r="AP17" s="6" t="s">
        <v>396</v>
      </c>
      <c r="AQ17" s="6" t="s">
        <v>397</v>
      </c>
      <c r="AR17" s="6" t="s">
        <v>75</v>
      </c>
      <c r="AS17" s="6">
        <v>15.0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P1"/>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0"/>
    <col customWidth="1" min="2" max="2" width="18.0"/>
    <col customWidth="1" min="3" max="3" width="14.0"/>
    <col customWidth="1" min="4" max="4" width="50.0"/>
    <col customWidth="1" min="5" max="5" width="20.0"/>
    <col customWidth="1" min="6" max="6" width="30.0"/>
    <col customWidth="1" min="7" max="7" width="40.0"/>
    <col customWidth="1" min="8" max="26" width="8.71"/>
  </cols>
  <sheetData>
    <row r="1" ht="21.75" customHeight="1">
      <c r="A1" s="1" t="s">
        <v>398</v>
      </c>
      <c r="B1" s="2"/>
      <c r="C1" s="2"/>
      <c r="D1" s="2"/>
      <c r="E1" s="2"/>
      <c r="F1" s="2"/>
      <c r="G1" s="3"/>
    </row>
    <row r="2" ht="30.0" customHeight="1">
      <c r="A2" s="4" t="s">
        <v>399</v>
      </c>
      <c r="B2" s="4" t="s">
        <v>400</v>
      </c>
      <c r="C2" s="4" t="s">
        <v>401</v>
      </c>
      <c r="D2" s="4" t="s">
        <v>402</v>
      </c>
      <c r="E2" s="4" t="s">
        <v>403</v>
      </c>
      <c r="F2" s="4" t="s">
        <v>404</v>
      </c>
      <c r="G2" s="4" t="s">
        <v>405</v>
      </c>
    </row>
    <row r="3" ht="60.0" customHeight="1">
      <c r="A3" s="13" t="s">
        <v>406</v>
      </c>
      <c r="B3" s="13" t="s">
        <v>407</v>
      </c>
      <c r="C3" s="13">
        <v>6860.0</v>
      </c>
      <c r="D3" s="13" t="s">
        <v>408</v>
      </c>
      <c r="E3" s="13" t="s">
        <v>409</v>
      </c>
      <c r="F3" s="13" t="s">
        <v>410</v>
      </c>
      <c r="G3" s="13" t="s">
        <v>411</v>
      </c>
    </row>
    <row r="4" ht="128.25" customHeight="1">
      <c r="A4" s="14" t="s">
        <v>412</v>
      </c>
      <c r="B4" s="14" t="s">
        <v>413</v>
      </c>
      <c r="C4" s="14">
        <v>11860.0</v>
      </c>
      <c r="D4" s="14" t="s">
        <v>414</v>
      </c>
      <c r="E4" s="14" t="s">
        <v>415</v>
      </c>
      <c r="F4" s="14" t="s">
        <v>416</v>
      </c>
      <c r="G4" s="14" t="s">
        <v>417</v>
      </c>
    </row>
    <row r="5" ht="60.0" customHeight="1">
      <c r="A5" s="13" t="s">
        <v>418</v>
      </c>
      <c r="B5" s="13" t="s">
        <v>419</v>
      </c>
      <c r="C5" s="13">
        <v>2000.0</v>
      </c>
      <c r="D5" s="13" t="s">
        <v>420</v>
      </c>
      <c r="E5" s="13" t="s">
        <v>421</v>
      </c>
      <c r="F5" s="13" t="s">
        <v>422</v>
      </c>
      <c r="G5" s="13" t="s">
        <v>423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0"/>
    <col customWidth="1" min="2" max="2" width="22.0"/>
    <col customWidth="1" min="3" max="3" width="12.0"/>
    <col customWidth="1" min="4" max="4" width="14.0"/>
    <col customWidth="1" min="5" max="5" width="6.0"/>
    <col customWidth="1" min="6" max="6" width="12.0"/>
    <col customWidth="1" min="7" max="8" width="35.0"/>
    <col customWidth="1" min="9" max="9" width="30.0"/>
    <col customWidth="1" min="10" max="10" width="28.0"/>
    <col customWidth="1" min="11" max="11" width="38.0"/>
    <col customWidth="1" min="12" max="26" width="8.71"/>
  </cols>
  <sheetData>
    <row r="1" ht="21.75" customHeight="1">
      <c r="A1" s="1" t="s">
        <v>424</v>
      </c>
      <c r="B1" s="2"/>
      <c r="C1" s="2"/>
      <c r="D1" s="2"/>
      <c r="E1" s="2"/>
      <c r="F1" s="2"/>
      <c r="G1" s="2"/>
      <c r="H1" s="2"/>
      <c r="I1" s="2"/>
      <c r="J1" s="2"/>
      <c r="K1" s="3"/>
    </row>
    <row r="2" ht="30.0" customHeight="1">
      <c r="A2" s="4" t="s">
        <v>425</v>
      </c>
      <c r="B2" s="4" t="s">
        <v>426</v>
      </c>
      <c r="C2" s="4" t="s">
        <v>427</v>
      </c>
      <c r="D2" s="4" t="s">
        <v>401</v>
      </c>
      <c r="E2" s="4" t="s">
        <v>428</v>
      </c>
      <c r="F2" s="4" t="s">
        <v>429</v>
      </c>
      <c r="G2" s="4" t="s">
        <v>430</v>
      </c>
      <c r="H2" s="4" t="s">
        <v>431</v>
      </c>
      <c r="I2" s="4" t="s">
        <v>432</v>
      </c>
      <c r="J2" s="4" t="s">
        <v>433</v>
      </c>
      <c r="K2" s="4" t="s">
        <v>405</v>
      </c>
    </row>
    <row r="3" ht="54.75" customHeight="1">
      <c r="A3" s="13" t="s">
        <v>434</v>
      </c>
      <c r="B3" s="13" t="s">
        <v>435</v>
      </c>
      <c r="C3" s="13" t="s">
        <v>436</v>
      </c>
      <c r="D3" s="13">
        <v>2000.0</v>
      </c>
      <c r="E3" s="13">
        <v>1.0</v>
      </c>
      <c r="F3" s="13">
        <v>2000.0</v>
      </c>
      <c r="G3" s="13" t="s">
        <v>437</v>
      </c>
      <c r="H3" s="13" t="s">
        <v>438</v>
      </c>
      <c r="I3" s="13" t="s">
        <v>439</v>
      </c>
      <c r="J3" s="13" t="s">
        <v>440</v>
      </c>
      <c r="K3" s="13" t="s">
        <v>441</v>
      </c>
    </row>
    <row r="4" ht="54.75" customHeight="1">
      <c r="A4" s="13" t="s">
        <v>442</v>
      </c>
      <c r="B4" s="13" t="s">
        <v>443</v>
      </c>
      <c r="C4" s="13" t="s">
        <v>436</v>
      </c>
      <c r="D4" s="13">
        <v>2000.0</v>
      </c>
      <c r="E4" s="13">
        <v>2.0</v>
      </c>
      <c r="F4" s="13">
        <v>1000.0</v>
      </c>
      <c r="G4" s="13" t="s">
        <v>444</v>
      </c>
      <c r="H4" s="13" t="s">
        <v>445</v>
      </c>
      <c r="I4" s="13" t="s">
        <v>446</v>
      </c>
      <c r="J4" s="13" t="s">
        <v>447</v>
      </c>
      <c r="K4" s="13" t="s">
        <v>448</v>
      </c>
    </row>
    <row r="5" ht="54.75" customHeight="1">
      <c r="A5" s="13" t="s">
        <v>449</v>
      </c>
      <c r="B5" s="13" t="s">
        <v>450</v>
      </c>
      <c r="C5" s="13" t="s">
        <v>436</v>
      </c>
      <c r="D5" s="13">
        <v>3000.0</v>
      </c>
      <c r="E5" s="13">
        <v>2.0</v>
      </c>
      <c r="F5" s="13">
        <v>1500.0</v>
      </c>
      <c r="G5" s="13" t="s">
        <v>451</v>
      </c>
      <c r="H5" s="13" t="s">
        <v>452</v>
      </c>
      <c r="I5" s="13" t="s">
        <v>453</v>
      </c>
      <c r="J5" s="13" t="s">
        <v>454</v>
      </c>
      <c r="K5" s="13" t="s">
        <v>455</v>
      </c>
    </row>
    <row r="6" ht="54.75" customHeight="1">
      <c r="A6" s="13" t="s">
        <v>456</v>
      </c>
      <c r="B6" s="13" t="s">
        <v>457</v>
      </c>
      <c r="C6" s="13" t="s">
        <v>436</v>
      </c>
      <c r="D6" s="13">
        <v>4000.0</v>
      </c>
      <c r="E6" s="13">
        <v>2.0</v>
      </c>
      <c r="F6" s="13">
        <v>2000.0</v>
      </c>
      <c r="G6" s="13" t="s">
        <v>458</v>
      </c>
      <c r="H6" s="13" t="s">
        <v>459</v>
      </c>
      <c r="I6" s="13" t="s">
        <v>460</v>
      </c>
      <c r="J6" s="13" t="s">
        <v>461</v>
      </c>
      <c r="K6" s="13" t="s">
        <v>462</v>
      </c>
    </row>
    <row r="7" ht="54.75" customHeight="1">
      <c r="A7" s="15" t="s">
        <v>463</v>
      </c>
      <c r="B7" s="15" t="s">
        <v>464</v>
      </c>
      <c r="C7" s="15" t="s">
        <v>465</v>
      </c>
      <c r="D7" s="15">
        <v>24868.0</v>
      </c>
      <c r="E7" s="15">
        <v>5.0</v>
      </c>
      <c r="F7" s="15">
        <v>6217.0</v>
      </c>
      <c r="G7" s="15" t="s">
        <v>466</v>
      </c>
      <c r="H7" s="15" t="s">
        <v>467</v>
      </c>
      <c r="I7" s="15" t="s">
        <v>468</v>
      </c>
      <c r="J7" s="15" t="s">
        <v>469</v>
      </c>
      <c r="K7" s="15" t="s">
        <v>470</v>
      </c>
    </row>
    <row r="8" ht="54.75" customHeight="1">
      <c r="A8" s="15" t="s">
        <v>471</v>
      </c>
      <c r="B8" s="15" t="s">
        <v>472</v>
      </c>
      <c r="C8" s="15" t="s">
        <v>465</v>
      </c>
      <c r="D8" s="15">
        <v>26868.0</v>
      </c>
      <c r="E8" s="15">
        <v>5.0</v>
      </c>
      <c r="F8" s="15">
        <v>6717.0</v>
      </c>
      <c r="G8" s="15" t="s">
        <v>473</v>
      </c>
      <c r="H8" s="15" t="s">
        <v>474</v>
      </c>
      <c r="I8" s="15" t="s">
        <v>475</v>
      </c>
      <c r="J8" s="15" t="s">
        <v>476</v>
      </c>
      <c r="K8" s="15" t="s">
        <v>477</v>
      </c>
    </row>
    <row r="9" ht="54.75" customHeight="1">
      <c r="A9" s="15" t="s">
        <v>478</v>
      </c>
      <c r="B9" s="15" t="s">
        <v>479</v>
      </c>
      <c r="C9" s="15" t="s">
        <v>465</v>
      </c>
      <c r="D9" s="15">
        <v>24868.0</v>
      </c>
      <c r="E9" s="15">
        <v>4.0</v>
      </c>
      <c r="F9" s="15">
        <v>6217.0</v>
      </c>
      <c r="G9" s="15" t="s">
        <v>480</v>
      </c>
      <c r="H9" s="15" t="s">
        <v>481</v>
      </c>
      <c r="I9" s="15" t="s">
        <v>482</v>
      </c>
      <c r="J9" s="15" t="s">
        <v>483</v>
      </c>
      <c r="K9" s="15" t="s">
        <v>484</v>
      </c>
    </row>
    <row r="10" ht="54.75" customHeight="1">
      <c r="A10" s="15" t="s">
        <v>485</v>
      </c>
      <c r="B10" s="15" t="s">
        <v>486</v>
      </c>
      <c r="C10" s="15" t="s">
        <v>465</v>
      </c>
      <c r="D10" s="15">
        <v>38868.0</v>
      </c>
      <c r="E10" s="15">
        <v>10.0</v>
      </c>
      <c r="F10" s="15">
        <v>3887.0</v>
      </c>
      <c r="G10" s="15" t="s">
        <v>487</v>
      </c>
      <c r="H10" s="15" t="s">
        <v>488</v>
      </c>
      <c r="I10" s="15" t="s">
        <v>489</v>
      </c>
      <c r="J10" s="15" t="s">
        <v>490</v>
      </c>
      <c r="K10" s="15" t="s">
        <v>491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
    <col customWidth="1" min="2" max="2" width="13.0"/>
    <col customWidth="1" min="3" max="4" width="28.0"/>
    <col customWidth="1" min="5" max="7" width="10.0"/>
    <col customWidth="1" min="8" max="8" width="22.0"/>
    <col customWidth="1" min="9" max="9" width="9.14"/>
    <col customWidth="1" min="10" max="10" width="35.0"/>
    <col customWidth="1" min="11" max="11" width="28.0"/>
    <col customWidth="1" min="12" max="26" width="8.71"/>
  </cols>
  <sheetData>
    <row r="1" ht="21.75" customHeight="1">
      <c r="A1" s="1" t="s">
        <v>492</v>
      </c>
      <c r="B1" s="2"/>
      <c r="C1" s="2"/>
      <c r="D1" s="2"/>
      <c r="E1" s="2"/>
      <c r="F1" s="2"/>
      <c r="G1" s="2"/>
      <c r="H1" s="2"/>
      <c r="I1" s="2"/>
      <c r="J1" s="2"/>
      <c r="K1" s="3"/>
    </row>
    <row r="2" ht="30.0" customHeight="1">
      <c r="A2" s="4" t="s">
        <v>493</v>
      </c>
      <c r="B2" s="4" t="s">
        <v>6</v>
      </c>
      <c r="C2" s="4" t="s">
        <v>494</v>
      </c>
      <c r="D2" s="4" t="s">
        <v>495</v>
      </c>
      <c r="E2" s="4" t="s">
        <v>496</v>
      </c>
      <c r="F2" s="4" t="s">
        <v>497</v>
      </c>
      <c r="G2" s="4" t="s">
        <v>498</v>
      </c>
      <c r="H2" s="4" t="s">
        <v>499</v>
      </c>
      <c r="I2" s="4" t="s">
        <v>500</v>
      </c>
      <c r="J2" s="4" t="s">
        <v>501</v>
      </c>
      <c r="K2" s="4" t="s">
        <v>502</v>
      </c>
    </row>
    <row r="3" ht="39.75" customHeight="1">
      <c r="A3" s="6" t="s">
        <v>503</v>
      </c>
      <c r="B3" s="6" t="s">
        <v>504</v>
      </c>
      <c r="C3" s="6" t="s">
        <v>505</v>
      </c>
      <c r="D3" s="6" t="s">
        <v>506</v>
      </c>
      <c r="E3" s="6" t="s">
        <v>507</v>
      </c>
      <c r="F3" s="6">
        <v>1500.0</v>
      </c>
      <c r="G3" s="6">
        <f t="shared" ref="G3:G48" si="1">ROUND(F4*0.15,0)</f>
        <v>300</v>
      </c>
      <c r="H3" s="6" t="s">
        <v>508</v>
      </c>
      <c r="I3" s="6">
        <v>5.0</v>
      </c>
      <c r="J3" s="6" t="s">
        <v>509</v>
      </c>
      <c r="K3" s="6"/>
    </row>
    <row r="4" ht="39.75" customHeight="1">
      <c r="A4" s="6" t="s">
        <v>510</v>
      </c>
      <c r="B4" s="6" t="s">
        <v>504</v>
      </c>
      <c r="C4" s="6" t="s">
        <v>511</v>
      </c>
      <c r="D4" s="6" t="s">
        <v>512</v>
      </c>
      <c r="E4" s="6" t="s">
        <v>507</v>
      </c>
      <c r="F4" s="6">
        <v>2000.0</v>
      </c>
      <c r="G4" s="6">
        <f t="shared" si="1"/>
        <v>330</v>
      </c>
      <c r="H4" s="6" t="s">
        <v>513</v>
      </c>
      <c r="I4" s="6">
        <v>5.0</v>
      </c>
      <c r="J4" s="6" t="s">
        <v>514</v>
      </c>
      <c r="K4" s="6" t="s">
        <v>515</v>
      </c>
    </row>
    <row r="5" ht="39.75" customHeight="1">
      <c r="A5" s="6" t="s">
        <v>516</v>
      </c>
      <c r="B5" s="6" t="s">
        <v>504</v>
      </c>
      <c r="C5" s="6" t="s">
        <v>517</v>
      </c>
      <c r="D5" s="6" t="s">
        <v>518</v>
      </c>
      <c r="E5" s="6" t="s">
        <v>507</v>
      </c>
      <c r="F5" s="6">
        <v>2200.0</v>
      </c>
      <c r="G5" s="6">
        <f t="shared" si="1"/>
        <v>300</v>
      </c>
      <c r="H5" s="6" t="s">
        <v>519</v>
      </c>
      <c r="I5" s="6">
        <v>4.0</v>
      </c>
      <c r="J5" s="6" t="s">
        <v>520</v>
      </c>
      <c r="K5" s="6" t="s">
        <v>521</v>
      </c>
    </row>
    <row r="6" ht="39.75" customHeight="1">
      <c r="A6" s="6" t="s">
        <v>522</v>
      </c>
      <c r="B6" s="6" t="s">
        <v>504</v>
      </c>
      <c r="C6" s="6" t="s">
        <v>523</v>
      </c>
      <c r="D6" s="6" t="s">
        <v>524</v>
      </c>
      <c r="E6" s="6" t="s">
        <v>507</v>
      </c>
      <c r="F6" s="6">
        <v>2000.0</v>
      </c>
      <c r="G6" s="6">
        <f t="shared" si="1"/>
        <v>315</v>
      </c>
      <c r="H6" s="6" t="s">
        <v>508</v>
      </c>
      <c r="I6" s="6">
        <v>4.0</v>
      </c>
      <c r="J6" s="6" t="s">
        <v>525</v>
      </c>
      <c r="K6" s="6"/>
    </row>
    <row r="7" ht="39.75" customHeight="1">
      <c r="A7" s="6" t="s">
        <v>526</v>
      </c>
      <c r="B7" s="6" t="s">
        <v>504</v>
      </c>
      <c r="C7" s="6" t="s">
        <v>527</v>
      </c>
      <c r="D7" s="6" t="s">
        <v>528</v>
      </c>
      <c r="E7" s="6" t="s">
        <v>507</v>
      </c>
      <c r="F7" s="6">
        <v>2100.0</v>
      </c>
      <c r="G7" s="6">
        <f t="shared" si="1"/>
        <v>315</v>
      </c>
      <c r="H7" s="6" t="s">
        <v>529</v>
      </c>
      <c r="I7" s="6">
        <v>4.0</v>
      </c>
      <c r="J7" s="6" t="s">
        <v>530</v>
      </c>
      <c r="K7" s="6"/>
    </row>
    <row r="8" ht="39.75" customHeight="1">
      <c r="A8" s="6" t="s">
        <v>531</v>
      </c>
      <c r="B8" s="6" t="s">
        <v>504</v>
      </c>
      <c r="C8" s="6" t="s">
        <v>532</v>
      </c>
      <c r="D8" s="6" t="s">
        <v>533</v>
      </c>
      <c r="E8" s="6" t="s">
        <v>507</v>
      </c>
      <c r="F8" s="6">
        <v>2100.0</v>
      </c>
      <c r="G8" s="6">
        <f t="shared" si="1"/>
        <v>225</v>
      </c>
      <c r="H8" s="6" t="s">
        <v>519</v>
      </c>
      <c r="I8" s="6">
        <v>4.0</v>
      </c>
      <c r="J8" s="6" t="s">
        <v>534</v>
      </c>
      <c r="K8" s="6"/>
    </row>
    <row r="9" ht="39.75" customHeight="1">
      <c r="A9" s="6" t="s">
        <v>535</v>
      </c>
      <c r="B9" s="6" t="s">
        <v>504</v>
      </c>
      <c r="C9" s="6" t="s">
        <v>536</v>
      </c>
      <c r="D9" s="6" t="s">
        <v>537</v>
      </c>
      <c r="E9" s="6" t="s">
        <v>507</v>
      </c>
      <c r="F9" s="6">
        <v>1500.0</v>
      </c>
      <c r="G9" s="6">
        <f t="shared" si="1"/>
        <v>525</v>
      </c>
      <c r="H9" s="6" t="s">
        <v>508</v>
      </c>
      <c r="I9" s="6">
        <v>5.0</v>
      </c>
      <c r="J9" s="6" t="s">
        <v>538</v>
      </c>
      <c r="K9" s="6"/>
    </row>
    <row r="10" ht="39.75" customHeight="1">
      <c r="A10" s="6" t="s">
        <v>539</v>
      </c>
      <c r="B10" s="6" t="s">
        <v>504</v>
      </c>
      <c r="C10" s="6" t="s">
        <v>540</v>
      </c>
      <c r="D10" s="6" t="s">
        <v>541</v>
      </c>
      <c r="E10" s="6" t="s">
        <v>542</v>
      </c>
      <c r="F10" s="6">
        <v>3500.0</v>
      </c>
      <c r="G10" s="6">
        <f t="shared" si="1"/>
        <v>375</v>
      </c>
      <c r="H10" s="6" t="s">
        <v>543</v>
      </c>
      <c r="I10" s="6">
        <v>4.0</v>
      </c>
      <c r="J10" s="6" t="s">
        <v>544</v>
      </c>
      <c r="K10" s="6" t="s">
        <v>545</v>
      </c>
    </row>
    <row r="11" ht="39.75" customHeight="1">
      <c r="A11" s="6" t="s">
        <v>546</v>
      </c>
      <c r="B11" s="6" t="s">
        <v>504</v>
      </c>
      <c r="C11" s="6" t="s">
        <v>547</v>
      </c>
      <c r="D11" s="6" t="s">
        <v>548</v>
      </c>
      <c r="E11" s="6" t="s">
        <v>549</v>
      </c>
      <c r="F11" s="6">
        <v>2500.0</v>
      </c>
      <c r="G11" s="6">
        <f t="shared" si="1"/>
        <v>480</v>
      </c>
      <c r="H11" s="6" t="s">
        <v>550</v>
      </c>
      <c r="I11" s="6">
        <v>3.0</v>
      </c>
      <c r="J11" s="6" t="s">
        <v>551</v>
      </c>
      <c r="K11" s="6" t="s">
        <v>552</v>
      </c>
    </row>
    <row r="12" ht="39.75" customHeight="1">
      <c r="A12" s="6" t="s">
        <v>553</v>
      </c>
      <c r="B12" s="6" t="s">
        <v>504</v>
      </c>
      <c r="C12" s="6" t="s">
        <v>554</v>
      </c>
      <c r="D12" s="6" t="s">
        <v>555</v>
      </c>
      <c r="E12" s="6" t="s">
        <v>542</v>
      </c>
      <c r="F12" s="6">
        <v>3200.0</v>
      </c>
      <c r="G12" s="6">
        <f t="shared" si="1"/>
        <v>240</v>
      </c>
      <c r="H12" s="6" t="s">
        <v>513</v>
      </c>
      <c r="I12" s="6">
        <v>3.0</v>
      </c>
      <c r="J12" s="6" t="s">
        <v>556</v>
      </c>
      <c r="K12" s="6" t="s">
        <v>557</v>
      </c>
    </row>
    <row r="13" ht="39.75" customHeight="1">
      <c r="A13" s="10" t="s">
        <v>558</v>
      </c>
      <c r="B13" s="10" t="s">
        <v>559</v>
      </c>
      <c r="C13" s="10" t="s">
        <v>560</v>
      </c>
      <c r="D13" s="10" t="s">
        <v>561</v>
      </c>
      <c r="E13" s="10" t="s">
        <v>562</v>
      </c>
      <c r="F13" s="10">
        <v>1600.0</v>
      </c>
      <c r="G13" s="10">
        <f t="shared" si="1"/>
        <v>210</v>
      </c>
      <c r="H13" s="10" t="s">
        <v>563</v>
      </c>
      <c r="I13" s="10">
        <v>4.0</v>
      </c>
      <c r="J13" s="10" t="s">
        <v>564</v>
      </c>
      <c r="K13" s="10" t="s">
        <v>565</v>
      </c>
    </row>
    <row r="14" ht="39.75" customHeight="1">
      <c r="A14" s="10" t="s">
        <v>566</v>
      </c>
      <c r="B14" s="10" t="s">
        <v>559</v>
      </c>
      <c r="C14" s="10" t="s">
        <v>567</v>
      </c>
      <c r="D14" s="10" t="s">
        <v>568</v>
      </c>
      <c r="E14" s="10" t="s">
        <v>562</v>
      </c>
      <c r="F14" s="10">
        <v>1400.0</v>
      </c>
      <c r="G14" s="10">
        <f t="shared" si="1"/>
        <v>135</v>
      </c>
      <c r="H14" s="10" t="s">
        <v>508</v>
      </c>
      <c r="I14" s="10">
        <v>4.0</v>
      </c>
      <c r="J14" s="10" t="s">
        <v>569</v>
      </c>
      <c r="K14" s="10"/>
    </row>
    <row r="15" ht="39.75" customHeight="1">
      <c r="A15" s="16" t="s">
        <v>570</v>
      </c>
      <c r="B15" s="16" t="s">
        <v>571</v>
      </c>
      <c r="C15" s="16" t="s">
        <v>572</v>
      </c>
      <c r="D15" s="16" t="s">
        <v>573</v>
      </c>
      <c r="E15" s="16" t="s">
        <v>562</v>
      </c>
      <c r="F15" s="16">
        <v>900.0</v>
      </c>
      <c r="G15" s="16">
        <f t="shared" si="1"/>
        <v>135</v>
      </c>
      <c r="H15" s="16" t="s">
        <v>574</v>
      </c>
      <c r="I15" s="16">
        <v>4.0</v>
      </c>
      <c r="J15" s="16" t="s">
        <v>575</v>
      </c>
      <c r="K15" s="16" t="s">
        <v>576</v>
      </c>
    </row>
    <row r="16" ht="39.75" customHeight="1">
      <c r="A16" s="16" t="s">
        <v>577</v>
      </c>
      <c r="B16" s="16" t="s">
        <v>571</v>
      </c>
      <c r="C16" s="16" t="s">
        <v>578</v>
      </c>
      <c r="D16" s="16" t="s">
        <v>579</v>
      </c>
      <c r="E16" s="16" t="s">
        <v>562</v>
      </c>
      <c r="F16" s="16">
        <v>900.0</v>
      </c>
      <c r="G16" s="16">
        <f t="shared" si="1"/>
        <v>135</v>
      </c>
      <c r="H16" s="16" t="s">
        <v>580</v>
      </c>
      <c r="I16" s="16">
        <v>4.0</v>
      </c>
      <c r="J16" s="16" t="s">
        <v>581</v>
      </c>
      <c r="K16" s="16" t="s">
        <v>582</v>
      </c>
    </row>
    <row r="17" ht="39.75" customHeight="1">
      <c r="A17" s="16" t="s">
        <v>583</v>
      </c>
      <c r="B17" s="16" t="s">
        <v>571</v>
      </c>
      <c r="C17" s="16" t="s">
        <v>584</v>
      </c>
      <c r="D17" s="16" t="s">
        <v>585</v>
      </c>
      <c r="E17" s="16" t="s">
        <v>562</v>
      </c>
      <c r="F17" s="16">
        <v>900.0</v>
      </c>
      <c r="G17" s="16">
        <f t="shared" si="1"/>
        <v>480</v>
      </c>
      <c r="H17" s="16" t="s">
        <v>586</v>
      </c>
      <c r="I17" s="16">
        <v>4.0</v>
      </c>
      <c r="J17" s="16" t="s">
        <v>587</v>
      </c>
      <c r="K17" s="16" t="s">
        <v>588</v>
      </c>
    </row>
    <row r="18" ht="39.75" customHeight="1">
      <c r="A18" s="17" t="s">
        <v>589</v>
      </c>
      <c r="B18" s="17" t="s">
        <v>590</v>
      </c>
      <c r="C18" s="17" t="s">
        <v>591</v>
      </c>
      <c r="D18" s="17" t="s">
        <v>592</v>
      </c>
      <c r="E18" s="17" t="s">
        <v>593</v>
      </c>
      <c r="F18" s="17">
        <v>3200.0</v>
      </c>
      <c r="G18" s="17">
        <f t="shared" si="1"/>
        <v>480</v>
      </c>
      <c r="H18" s="17" t="s">
        <v>594</v>
      </c>
      <c r="I18" s="17">
        <v>4.0</v>
      </c>
      <c r="J18" s="17" t="s">
        <v>595</v>
      </c>
      <c r="K18" s="17" t="s">
        <v>596</v>
      </c>
    </row>
    <row r="19" ht="39.75" customHeight="1">
      <c r="A19" s="17" t="s">
        <v>597</v>
      </c>
      <c r="B19" s="17" t="s">
        <v>590</v>
      </c>
      <c r="C19" s="17" t="s">
        <v>598</v>
      </c>
      <c r="D19" s="17" t="s">
        <v>599</v>
      </c>
      <c r="E19" s="17" t="s">
        <v>600</v>
      </c>
      <c r="F19" s="17">
        <v>3200.0</v>
      </c>
      <c r="G19" s="17">
        <f t="shared" si="1"/>
        <v>525</v>
      </c>
      <c r="H19" s="17" t="s">
        <v>601</v>
      </c>
      <c r="I19" s="17">
        <v>5.0</v>
      </c>
      <c r="J19" s="17" t="s">
        <v>602</v>
      </c>
      <c r="K19" s="17" t="s">
        <v>603</v>
      </c>
    </row>
    <row r="20" ht="39.75" customHeight="1">
      <c r="A20" s="18" t="s">
        <v>604</v>
      </c>
      <c r="B20" s="18" t="s">
        <v>605</v>
      </c>
      <c r="C20" s="18" t="s">
        <v>606</v>
      </c>
      <c r="D20" s="18" t="s">
        <v>607</v>
      </c>
      <c r="E20" s="18" t="s">
        <v>507</v>
      </c>
      <c r="F20" s="18">
        <v>3500.0</v>
      </c>
      <c r="G20" s="18">
        <f t="shared" si="1"/>
        <v>525</v>
      </c>
      <c r="H20" s="18" t="s">
        <v>586</v>
      </c>
      <c r="I20" s="18">
        <v>3.0</v>
      </c>
      <c r="J20" s="18" t="s">
        <v>608</v>
      </c>
      <c r="K20" s="18"/>
    </row>
    <row r="21" ht="39.75" customHeight="1">
      <c r="A21" s="18" t="s">
        <v>609</v>
      </c>
      <c r="B21" s="18" t="s">
        <v>605</v>
      </c>
      <c r="C21" s="18" t="s">
        <v>610</v>
      </c>
      <c r="D21" s="18" t="s">
        <v>611</v>
      </c>
      <c r="E21" s="18" t="s">
        <v>507</v>
      </c>
      <c r="F21" s="18">
        <v>3500.0</v>
      </c>
      <c r="G21" s="18">
        <f t="shared" si="1"/>
        <v>525</v>
      </c>
      <c r="H21" s="18" t="s">
        <v>586</v>
      </c>
      <c r="I21" s="18">
        <v>3.0</v>
      </c>
      <c r="J21" s="18" t="s">
        <v>612</v>
      </c>
      <c r="K21" s="18"/>
    </row>
    <row r="22" ht="39.75" customHeight="1">
      <c r="A22" s="18" t="s">
        <v>613</v>
      </c>
      <c r="B22" s="18" t="s">
        <v>605</v>
      </c>
      <c r="C22" s="18" t="s">
        <v>614</v>
      </c>
      <c r="D22" s="18" t="s">
        <v>615</v>
      </c>
      <c r="E22" s="18" t="s">
        <v>507</v>
      </c>
      <c r="F22" s="18">
        <v>3500.0</v>
      </c>
      <c r="G22" s="18">
        <f t="shared" si="1"/>
        <v>525</v>
      </c>
      <c r="H22" s="18" t="s">
        <v>586</v>
      </c>
      <c r="I22" s="18">
        <v>3.0</v>
      </c>
      <c r="J22" s="18" t="s">
        <v>616</v>
      </c>
      <c r="K22" s="18" t="s">
        <v>617</v>
      </c>
    </row>
    <row r="23" ht="39.75" customHeight="1">
      <c r="A23" s="18" t="s">
        <v>618</v>
      </c>
      <c r="B23" s="18" t="s">
        <v>605</v>
      </c>
      <c r="C23" s="18" t="s">
        <v>619</v>
      </c>
      <c r="D23" s="18" t="s">
        <v>620</v>
      </c>
      <c r="E23" s="18" t="s">
        <v>507</v>
      </c>
      <c r="F23" s="18">
        <v>3500.0</v>
      </c>
      <c r="G23" s="18">
        <f t="shared" si="1"/>
        <v>525</v>
      </c>
      <c r="H23" s="18" t="s">
        <v>586</v>
      </c>
      <c r="I23" s="18">
        <v>3.0</v>
      </c>
      <c r="J23" s="18" t="s">
        <v>621</v>
      </c>
      <c r="K23" s="18"/>
    </row>
    <row r="24" ht="39.75" customHeight="1">
      <c r="A24" s="18" t="s">
        <v>622</v>
      </c>
      <c r="B24" s="18" t="s">
        <v>605</v>
      </c>
      <c r="C24" s="18" t="s">
        <v>623</v>
      </c>
      <c r="D24" s="18" t="s">
        <v>624</v>
      </c>
      <c r="E24" s="18" t="s">
        <v>507</v>
      </c>
      <c r="F24" s="18">
        <v>3500.0</v>
      </c>
      <c r="G24" s="18">
        <f t="shared" si="1"/>
        <v>525</v>
      </c>
      <c r="H24" s="18" t="s">
        <v>586</v>
      </c>
      <c r="I24" s="18">
        <v>4.0</v>
      </c>
      <c r="J24" s="18" t="s">
        <v>625</v>
      </c>
      <c r="K24" s="18" t="s">
        <v>626</v>
      </c>
    </row>
    <row r="25" ht="39.75" customHeight="1">
      <c r="A25" s="18" t="s">
        <v>627</v>
      </c>
      <c r="B25" s="18" t="s">
        <v>605</v>
      </c>
      <c r="C25" s="18" t="s">
        <v>628</v>
      </c>
      <c r="D25" s="18" t="s">
        <v>629</v>
      </c>
      <c r="E25" s="18" t="s">
        <v>507</v>
      </c>
      <c r="F25" s="18">
        <v>3500.0</v>
      </c>
      <c r="G25" s="18">
        <f t="shared" si="1"/>
        <v>675</v>
      </c>
      <c r="H25" s="18" t="s">
        <v>630</v>
      </c>
      <c r="I25" s="18">
        <v>3.0</v>
      </c>
      <c r="J25" s="18" t="s">
        <v>631</v>
      </c>
      <c r="K25" s="18" t="s">
        <v>632</v>
      </c>
    </row>
    <row r="26" ht="39.75" customHeight="1">
      <c r="A26" s="19" t="s">
        <v>633</v>
      </c>
      <c r="B26" s="19" t="s">
        <v>634</v>
      </c>
      <c r="C26" s="19" t="s">
        <v>635</v>
      </c>
      <c r="D26" s="19" t="s">
        <v>636</v>
      </c>
      <c r="E26" s="19" t="s">
        <v>637</v>
      </c>
      <c r="F26" s="19">
        <v>4500.0</v>
      </c>
      <c r="G26" s="19">
        <f t="shared" si="1"/>
        <v>675</v>
      </c>
      <c r="H26" s="19" t="s">
        <v>586</v>
      </c>
      <c r="I26" s="19">
        <v>4.0</v>
      </c>
      <c r="J26" s="19" t="s">
        <v>638</v>
      </c>
      <c r="K26" s="19" t="s">
        <v>639</v>
      </c>
    </row>
    <row r="27" ht="39.75" customHeight="1">
      <c r="A27" s="19" t="s">
        <v>640</v>
      </c>
      <c r="B27" s="19" t="s">
        <v>634</v>
      </c>
      <c r="C27" s="19" t="s">
        <v>641</v>
      </c>
      <c r="D27" s="19" t="s">
        <v>642</v>
      </c>
      <c r="E27" s="19" t="s">
        <v>637</v>
      </c>
      <c r="F27" s="19">
        <v>4500.0</v>
      </c>
      <c r="G27" s="19">
        <f t="shared" si="1"/>
        <v>675</v>
      </c>
      <c r="H27" s="19" t="s">
        <v>586</v>
      </c>
      <c r="I27" s="19">
        <v>4.0</v>
      </c>
      <c r="J27" s="19" t="s">
        <v>643</v>
      </c>
      <c r="K27" s="19"/>
    </row>
    <row r="28" ht="39.75" customHeight="1">
      <c r="A28" s="19" t="s">
        <v>644</v>
      </c>
      <c r="B28" s="19" t="s">
        <v>634</v>
      </c>
      <c r="C28" s="19" t="s">
        <v>645</v>
      </c>
      <c r="D28" s="19" t="s">
        <v>646</v>
      </c>
      <c r="E28" s="19" t="s">
        <v>637</v>
      </c>
      <c r="F28" s="19">
        <v>4500.0</v>
      </c>
      <c r="G28" s="19">
        <f t="shared" si="1"/>
        <v>525</v>
      </c>
      <c r="H28" s="19" t="s">
        <v>586</v>
      </c>
      <c r="I28" s="19">
        <v>3.0</v>
      </c>
      <c r="J28" s="19" t="s">
        <v>647</v>
      </c>
      <c r="K28" s="19"/>
    </row>
    <row r="29" ht="39.75" customHeight="1">
      <c r="A29" s="20" t="s">
        <v>648</v>
      </c>
      <c r="B29" s="20" t="s">
        <v>649</v>
      </c>
      <c r="C29" s="20" t="s">
        <v>650</v>
      </c>
      <c r="D29" s="20" t="s">
        <v>651</v>
      </c>
      <c r="E29" s="20" t="s">
        <v>507</v>
      </c>
      <c r="F29" s="20">
        <v>3500.0</v>
      </c>
      <c r="G29" s="20">
        <f t="shared" si="1"/>
        <v>450</v>
      </c>
      <c r="H29" s="20" t="s">
        <v>652</v>
      </c>
      <c r="I29" s="20">
        <v>3.0</v>
      </c>
      <c r="J29" s="20" t="s">
        <v>653</v>
      </c>
      <c r="K29" s="20"/>
    </row>
    <row r="30" ht="39.75" customHeight="1">
      <c r="A30" s="20" t="s">
        <v>654</v>
      </c>
      <c r="B30" s="20" t="s">
        <v>649</v>
      </c>
      <c r="C30" s="20" t="s">
        <v>655</v>
      </c>
      <c r="D30" s="20" t="s">
        <v>656</v>
      </c>
      <c r="E30" s="20" t="s">
        <v>507</v>
      </c>
      <c r="F30" s="20">
        <v>3000.0</v>
      </c>
      <c r="G30" s="20">
        <f t="shared" si="1"/>
        <v>525</v>
      </c>
      <c r="H30" s="20" t="s">
        <v>513</v>
      </c>
      <c r="I30" s="20">
        <v>4.0</v>
      </c>
      <c r="J30" s="20" t="s">
        <v>657</v>
      </c>
      <c r="K30" s="20" t="s">
        <v>658</v>
      </c>
    </row>
    <row r="31" ht="39.75" customHeight="1">
      <c r="A31" s="20" t="s">
        <v>659</v>
      </c>
      <c r="B31" s="20" t="s">
        <v>649</v>
      </c>
      <c r="C31" s="20" t="s">
        <v>660</v>
      </c>
      <c r="D31" s="20" t="s">
        <v>661</v>
      </c>
      <c r="E31" s="20" t="s">
        <v>507</v>
      </c>
      <c r="F31" s="20">
        <v>3500.0</v>
      </c>
      <c r="G31" s="20">
        <f t="shared" si="1"/>
        <v>2100</v>
      </c>
      <c r="H31" s="20" t="s">
        <v>652</v>
      </c>
      <c r="I31" s="20">
        <v>3.0</v>
      </c>
      <c r="J31" s="20" t="s">
        <v>662</v>
      </c>
      <c r="K31" s="20" t="s">
        <v>658</v>
      </c>
    </row>
    <row r="32" ht="39.75" customHeight="1">
      <c r="A32" s="9" t="s">
        <v>663</v>
      </c>
      <c r="B32" s="9" t="s">
        <v>664</v>
      </c>
      <c r="C32" s="9" t="s">
        <v>665</v>
      </c>
      <c r="D32" s="9" t="s">
        <v>666</v>
      </c>
      <c r="E32" s="9" t="s">
        <v>667</v>
      </c>
      <c r="F32" s="9">
        <v>14000.0</v>
      </c>
      <c r="G32" s="9">
        <f t="shared" si="1"/>
        <v>2700</v>
      </c>
      <c r="H32" s="9" t="s">
        <v>668</v>
      </c>
      <c r="I32" s="9">
        <v>2.0</v>
      </c>
      <c r="J32" s="9" t="s">
        <v>669</v>
      </c>
      <c r="K32" s="9" t="s">
        <v>670</v>
      </c>
    </row>
    <row r="33" ht="39.75" customHeight="1">
      <c r="A33" s="9" t="s">
        <v>671</v>
      </c>
      <c r="B33" s="9" t="s">
        <v>664</v>
      </c>
      <c r="C33" s="9" t="s">
        <v>672</v>
      </c>
      <c r="D33" s="9" t="s">
        <v>673</v>
      </c>
      <c r="E33" s="9" t="s">
        <v>674</v>
      </c>
      <c r="F33" s="9">
        <v>18000.0</v>
      </c>
      <c r="G33" s="9">
        <f t="shared" si="1"/>
        <v>5400</v>
      </c>
      <c r="H33" s="9" t="s">
        <v>675</v>
      </c>
      <c r="I33" s="9">
        <v>2.0</v>
      </c>
      <c r="J33" s="9" t="s">
        <v>676</v>
      </c>
      <c r="K33" s="9" t="s">
        <v>670</v>
      </c>
    </row>
    <row r="34" ht="39.75" customHeight="1">
      <c r="A34" s="9" t="s">
        <v>677</v>
      </c>
      <c r="B34" s="9" t="s">
        <v>664</v>
      </c>
      <c r="C34" s="9" t="s">
        <v>678</v>
      </c>
      <c r="D34" s="9" t="s">
        <v>679</v>
      </c>
      <c r="E34" s="9" t="s">
        <v>680</v>
      </c>
      <c r="F34" s="9">
        <v>36000.0</v>
      </c>
      <c r="G34" s="9">
        <f t="shared" si="1"/>
        <v>975</v>
      </c>
      <c r="H34" s="9" t="s">
        <v>675</v>
      </c>
      <c r="I34" s="9">
        <v>1.0</v>
      </c>
      <c r="J34" s="9" t="s">
        <v>681</v>
      </c>
      <c r="K34" s="9" t="s">
        <v>682</v>
      </c>
    </row>
    <row r="35" ht="39.75" customHeight="1">
      <c r="A35" s="21" t="s">
        <v>683</v>
      </c>
      <c r="B35" s="21" t="s">
        <v>684</v>
      </c>
      <c r="C35" s="21" t="s">
        <v>685</v>
      </c>
      <c r="D35" s="21" t="s">
        <v>686</v>
      </c>
      <c r="E35" s="21" t="s">
        <v>687</v>
      </c>
      <c r="F35" s="21">
        <v>6500.0</v>
      </c>
      <c r="G35" s="21">
        <f t="shared" si="1"/>
        <v>975</v>
      </c>
      <c r="H35" s="21" t="s">
        <v>194</v>
      </c>
      <c r="I35" s="21">
        <v>4.0</v>
      </c>
      <c r="J35" s="21" t="s">
        <v>688</v>
      </c>
      <c r="K35" s="21" t="s">
        <v>689</v>
      </c>
    </row>
    <row r="36" ht="39.75" customHeight="1">
      <c r="A36" s="21" t="s">
        <v>690</v>
      </c>
      <c r="B36" s="21" t="s">
        <v>684</v>
      </c>
      <c r="C36" s="21" t="s">
        <v>691</v>
      </c>
      <c r="D36" s="21" t="s">
        <v>692</v>
      </c>
      <c r="E36" s="21" t="s">
        <v>687</v>
      </c>
      <c r="F36" s="21">
        <v>6500.0</v>
      </c>
      <c r="G36" s="21">
        <f t="shared" si="1"/>
        <v>975</v>
      </c>
      <c r="H36" s="21" t="s">
        <v>194</v>
      </c>
      <c r="I36" s="21">
        <v>4.0</v>
      </c>
      <c r="J36" s="21" t="s">
        <v>693</v>
      </c>
      <c r="K36" s="21" t="s">
        <v>694</v>
      </c>
    </row>
    <row r="37" ht="39.75" customHeight="1">
      <c r="A37" s="21" t="s">
        <v>695</v>
      </c>
      <c r="B37" s="21" t="s">
        <v>684</v>
      </c>
      <c r="C37" s="21" t="s">
        <v>696</v>
      </c>
      <c r="D37" s="21" t="s">
        <v>697</v>
      </c>
      <c r="E37" s="21" t="s">
        <v>687</v>
      </c>
      <c r="F37" s="21">
        <v>6500.0</v>
      </c>
      <c r="G37" s="21">
        <f t="shared" si="1"/>
        <v>975</v>
      </c>
      <c r="H37" s="21" t="s">
        <v>194</v>
      </c>
      <c r="I37" s="21">
        <v>4.0</v>
      </c>
      <c r="J37" s="21" t="s">
        <v>698</v>
      </c>
      <c r="K37" s="21"/>
    </row>
    <row r="38" ht="39.75" customHeight="1">
      <c r="A38" s="21" t="s">
        <v>699</v>
      </c>
      <c r="B38" s="21" t="s">
        <v>684</v>
      </c>
      <c r="C38" s="21" t="s">
        <v>700</v>
      </c>
      <c r="D38" s="21" t="s">
        <v>701</v>
      </c>
      <c r="E38" s="21" t="s">
        <v>687</v>
      </c>
      <c r="F38" s="21">
        <v>6500.0</v>
      </c>
      <c r="G38" s="21">
        <f t="shared" si="1"/>
        <v>1050</v>
      </c>
      <c r="H38" s="21" t="s">
        <v>194</v>
      </c>
      <c r="I38" s="21">
        <v>3.0</v>
      </c>
      <c r="J38" s="21" t="s">
        <v>702</v>
      </c>
      <c r="K38" s="21"/>
    </row>
    <row r="39" ht="39.75" customHeight="1">
      <c r="A39" s="21" t="s">
        <v>703</v>
      </c>
      <c r="B39" s="21" t="s">
        <v>684</v>
      </c>
      <c r="C39" s="21" t="s">
        <v>704</v>
      </c>
      <c r="D39" s="21" t="s">
        <v>705</v>
      </c>
      <c r="E39" s="21" t="s">
        <v>706</v>
      </c>
      <c r="F39" s="21">
        <v>7000.0</v>
      </c>
      <c r="G39" s="21">
        <f t="shared" si="1"/>
        <v>1650</v>
      </c>
      <c r="H39" s="21" t="s">
        <v>194</v>
      </c>
      <c r="I39" s="21">
        <v>3.0</v>
      </c>
      <c r="J39" s="21" t="s">
        <v>707</v>
      </c>
      <c r="K39" s="21" t="s">
        <v>706</v>
      </c>
    </row>
    <row r="40" ht="39.75" customHeight="1">
      <c r="A40" s="21" t="s">
        <v>708</v>
      </c>
      <c r="B40" s="21" t="s">
        <v>684</v>
      </c>
      <c r="C40" s="21" t="s">
        <v>709</v>
      </c>
      <c r="D40" s="21" t="s">
        <v>710</v>
      </c>
      <c r="E40" s="21" t="s">
        <v>706</v>
      </c>
      <c r="F40" s="21">
        <v>11000.0</v>
      </c>
      <c r="G40" s="21">
        <f t="shared" si="1"/>
        <v>2100</v>
      </c>
      <c r="H40" s="21" t="s">
        <v>194</v>
      </c>
      <c r="I40" s="21">
        <v>2.0</v>
      </c>
      <c r="J40" s="21" t="s">
        <v>711</v>
      </c>
      <c r="K40" s="21"/>
    </row>
    <row r="41" ht="39.75" customHeight="1">
      <c r="A41" s="21" t="s">
        <v>712</v>
      </c>
      <c r="B41" s="21" t="s">
        <v>684</v>
      </c>
      <c r="C41" s="21" t="s">
        <v>713</v>
      </c>
      <c r="D41" s="21" t="s">
        <v>714</v>
      </c>
      <c r="E41" s="21" t="s">
        <v>706</v>
      </c>
      <c r="F41" s="21">
        <v>14000.0</v>
      </c>
      <c r="G41" s="21">
        <f t="shared" si="1"/>
        <v>750</v>
      </c>
      <c r="H41" s="21" t="s">
        <v>715</v>
      </c>
      <c r="I41" s="21">
        <v>2.0</v>
      </c>
      <c r="J41" s="21" t="s">
        <v>716</v>
      </c>
      <c r="K41" s="21"/>
    </row>
    <row r="42" ht="39.75" customHeight="1">
      <c r="A42" s="22" t="s">
        <v>717</v>
      </c>
      <c r="B42" s="22" t="s">
        <v>718</v>
      </c>
      <c r="C42" s="22" t="s">
        <v>719</v>
      </c>
      <c r="D42" s="22" t="s">
        <v>720</v>
      </c>
      <c r="E42" s="22" t="s">
        <v>721</v>
      </c>
      <c r="F42" s="22">
        <v>5000.0</v>
      </c>
      <c r="G42" s="22">
        <f t="shared" si="1"/>
        <v>1050</v>
      </c>
      <c r="H42" s="22" t="s">
        <v>594</v>
      </c>
      <c r="I42" s="22">
        <v>4.0</v>
      </c>
      <c r="J42" s="22" t="s">
        <v>722</v>
      </c>
      <c r="K42" s="22" t="s">
        <v>723</v>
      </c>
    </row>
    <row r="43" ht="39.75" customHeight="1">
      <c r="A43" s="22" t="s">
        <v>724</v>
      </c>
      <c r="B43" s="22" t="s">
        <v>718</v>
      </c>
      <c r="C43" s="22" t="s">
        <v>725</v>
      </c>
      <c r="D43" s="22" t="s">
        <v>726</v>
      </c>
      <c r="E43" s="22" t="s">
        <v>721</v>
      </c>
      <c r="F43" s="22">
        <v>7000.0</v>
      </c>
      <c r="G43" s="22">
        <f t="shared" si="1"/>
        <v>1425</v>
      </c>
      <c r="H43" s="22" t="s">
        <v>594</v>
      </c>
      <c r="I43" s="22">
        <v>3.0</v>
      </c>
      <c r="J43" s="22" t="s">
        <v>727</v>
      </c>
      <c r="K43" s="22" t="s">
        <v>728</v>
      </c>
    </row>
    <row r="44" ht="39.75" customHeight="1">
      <c r="A44" s="22" t="s">
        <v>729</v>
      </c>
      <c r="B44" s="22" t="s">
        <v>718</v>
      </c>
      <c r="C44" s="22" t="s">
        <v>730</v>
      </c>
      <c r="D44" s="22" t="s">
        <v>731</v>
      </c>
      <c r="E44" s="22" t="s">
        <v>721</v>
      </c>
      <c r="F44" s="22">
        <v>9500.0</v>
      </c>
      <c r="G44" s="22">
        <f t="shared" si="1"/>
        <v>1485</v>
      </c>
      <c r="H44" s="22" t="s">
        <v>715</v>
      </c>
      <c r="I44" s="22">
        <v>3.0</v>
      </c>
      <c r="J44" s="22" t="s">
        <v>732</v>
      </c>
      <c r="K44" s="22" t="s">
        <v>733</v>
      </c>
    </row>
    <row r="45" ht="39.75" customHeight="1">
      <c r="A45" s="23" t="s">
        <v>734</v>
      </c>
      <c r="B45" s="23" t="s">
        <v>735</v>
      </c>
      <c r="C45" s="23" t="s">
        <v>736</v>
      </c>
      <c r="D45" s="23" t="s">
        <v>737</v>
      </c>
      <c r="E45" s="23" t="s">
        <v>721</v>
      </c>
      <c r="F45" s="23">
        <v>9900.0</v>
      </c>
      <c r="G45" s="23">
        <f t="shared" si="1"/>
        <v>690</v>
      </c>
      <c r="H45" s="23" t="s">
        <v>594</v>
      </c>
      <c r="I45" s="23">
        <v>4.0</v>
      </c>
      <c r="J45" s="23" t="s">
        <v>738</v>
      </c>
      <c r="K45" s="23" t="s">
        <v>739</v>
      </c>
    </row>
    <row r="46" ht="39.75" customHeight="1">
      <c r="A46" s="23" t="s">
        <v>740</v>
      </c>
      <c r="B46" s="23" t="s">
        <v>735</v>
      </c>
      <c r="C46" s="23" t="s">
        <v>741</v>
      </c>
      <c r="D46" s="23" t="s">
        <v>742</v>
      </c>
      <c r="E46" s="23" t="s">
        <v>721</v>
      </c>
      <c r="F46" s="23">
        <v>4599.0</v>
      </c>
      <c r="G46" s="23">
        <f t="shared" si="1"/>
        <v>435</v>
      </c>
      <c r="H46" s="23" t="s">
        <v>194</v>
      </c>
      <c r="I46" s="23">
        <v>3.0</v>
      </c>
      <c r="J46" s="23" t="s">
        <v>743</v>
      </c>
      <c r="K46" s="23"/>
    </row>
    <row r="47" ht="39.75" customHeight="1">
      <c r="A47" s="23" t="s">
        <v>744</v>
      </c>
      <c r="B47" s="23" t="s">
        <v>735</v>
      </c>
      <c r="C47" s="23" t="s">
        <v>745</v>
      </c>
      <c r="D47" s="23" t="s">
        <v>746</v>
      </c>
      <c r="E47" s="23" t="s">
        <v>721</v>
      </c>
      <c r="F47" s="23">
        <v>2900.0</v>
      </c>
      <c r="G47" s="23">
        <f t="shared" si="1"/>
        <v>435</v>
      </c>
      <c r="H47" s="23" t="s">
        <v>563</v>
      </c>
      <c r="I47" s="23">
        <v>4.0</v>
      </c>
      <c r="J47" s="23" t="s">
        <v>747</v>
      </c>
      <c r="K47" s="23" t="s">
        <v>748</v>
      </c>
    </row>
    <row r="48" ht="39.75" customHeight="1">
      <c r="A48" s="23" t="s">
        <v>749</v>
      </c>
      <c r="B48" s="23" t="s">
        <v>735</v>
      </c>
      <c r="C48" s="23" t="s">
        <v>750</v>
      </c>
      <c r="D48" s="23" t="s">
        <v>750</v>
      </c>
      <c r="E48" s="23" t="s">
        <v>721</v>
      </c>
      <c r="F48" s="23">
        <v>2900.0</v>
      </c>
      <c r="G48" s="23">
        <f t="shared" si="1"/>
        <v>0</v>
      </c>
      <c r="H48" s="23" t="s">
        <v>594</v>
      </c>
      <c r="I48" s="23">
        <v>3.0</v>
      </c>
      <c r="J48" s="23" t="s">
        <v>751</v>
      </c>
      <c r="K48" s="23"/>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0"/>
    <col customWidth="1" min="2" max="2" width="16.0"/>
    <col customWidth="1" min="3" max="3" width="10.0"/>
    <col customWidth="1" min="4" max="4" width="8.0"/>
    <col customWidth="1" min="5" max="7" width="14.0"/>
    <col customWidth="1" min="8" max="8" width="10.0"/>
    <col customWidth="1" min="9" max="10" width="14.0"/>
    <col customWidth="1" min="11" max="11" width="10.0"/>
    <col customWidth="1" min="12" max="12" width="18.0"/>
    <col customWidth="1" min="13" max="26" width="8.71"/>
  </cols>
  <sheetData>
    <row r="1" ht="21.75" customHeight="1">
      <c r="A1" s="1" t="s">
        <v>752</v>
      </c>
      <c r="B1" s="2"/>
      <c r="C1" s="2"/>
      <c r="D1" s="2"/>
      <c r="E1" s="2"/>
      <c r="F1" s="2"/>
      <c r="G1" s="2"/>
      <c r="H1" s="2"/>
      <c r="I1" s="2"/>
      <c r="J1" s="2"/>
      <c r="K1" s="2"/>
      <c r="L1" s="3"/>
    </row>
    <row r="2" ht="30.0" customHeight="1">
      <c r="A2" s="4" t="s">
        <v>753</v>
      </c>
      <c r="B2" s="4" t="s">
        <v>1</v>
      </c>
      <c r="C2" s="4" t="s">
        <v>10</v>
      </c>
      <c r="D2" s="4" t="s">
        <v>754</v>
      </c>
      <c r="E2" s="4" t="s">
        <v>755</v>
      </c>
      <c r="F2" s="4" t="s">
        <v>756</v>
      </c>
      <c r="G2" s="4" t="s">
        <v>23</v>
      </c>
      <c r="H2" s="4" t="s">
        <v>757</v>
      </c>
      <c r="I2" s="4" t="s">
        <v>758</v>
      </c>
      <c r="J2" s="4" t="s">
        <v>24</v>
      </c>
      <c r="K2" s="4" t="s">
        <v>759</v>
      </c>
      <c r="L2" s="4" t="s">
        <v>760</v>
      </c>
    </row>
    <row r="3" ht="21.75" customHeight="1">
      <c r="A3" s="24" t="s">
        <v>761</v>
      </c>
      <c r="B3" s="24" t="s">
        <v>46</v>
      </c>
      <c r="C3" s="24" t="s">
        <v>762</v>
      </c>
      <c r="D3" s="24">
        <v>5.0</v>
      </c>
      <c r="E3" s="25">
        <f>5*6860</f>
        <v>34300</v>
      </c>
      <c r="F3" s="25">
        <v>24000.0</v>
      </c>
      <c r="G3" s="26">
        <v>62000.0</v>
      </c>
      <c r="H3" s="25">
        <f t="shared" ref="H3:H17" si="1">ROUND(G4*0.15,0)</f>
        <v>13800</v>
      </c>
      <c r="I3" s="25">
        <v>8000.0</v>
      </c>
      <c r="J3" s="27">
        <v>72000.0</v>
      </c>
      <c r="K3" s="25">
        <f t="shared" ref="K3:K17" si="2">ROUND(J4*0.15,0)</f>
        <v>15750</v>
      </c>
      <c r="L3" s="25" t="s">
        <v>763</v>
      </c>
    </row>
    <row r="4" ht="21.75" customHeight="1">
      <c r="A4" s="24" t="s">
        <v>761</v>
      </c>
      <c r="B4" s="24" t="s">
        <v>76</v>
      </c>
      <c r="C4" s="24" t="s">
        <v>764</v>
      </c>
      <c r="D4" s="24">
        <v>7.0</v>
      </c>
      <c r="E4" s="25">
        <f>7*6860</f>
        <v>48020</v>
      </c>
      <c r="F4" s="25">
        <v>37500.0</v>
      </c>
      <c r="G4" s="26">
        <v>92000.0</v>
      </c>
      <c r="H4" s="25">
        <f t="shared" si="1"/>
        <v>20250</v>
      </c>
      <c r="I4" s="25">
        <v>14000.0</v>
      </c>
      <c r="J4" s="27">
        <v>105000.0</v>
      </c>
      <c r="K4" s="25">
        <f t="shared" si="2"/>
        <v>22200</v>
      </c>
      <c r="L4" s="25" t="s">
        <v>765</v>
      </c>
    </row>
    <row r="5" ht="21.75" customHeight="1">
      <c r="A5" s="24" t="s">
        <v>761</v>
      </c>
      <c r="B5" s="24" t="s">
        <v>97</v>
      </c>
      <c r="C5" s="24" t="s">
        <v>766</v>
      </c>
      <c r="D5" s="24">
        <v>10.0</v>
      </c>
      <c r="E5" s="25">
        <f>10*6860</f>
        <v>68600</v>
      </c>
      <c r="F5" s="25">
        <v>60000.0</v>
      </c>
      <c r="G5" s="26">
        <v>135000.0</v>
      </c>
      <c r="H5" s="25">
        <f t="shared" si="1"/>
        <v>9750</v>
      </c>
      <c r="I5" s="25">
        <v>21000.0</v>
      </c>
      <c r="J5" s="27">
        <v>148000.0</v>
      </c>
      <c r="K5" s="25">
        <f t="shared" si="2"/>
        <v>12000</v>
      </c>
      <c r="L5" s="25" t="s">
        <v>767</v>
      </c>
    </row>
    <row r="6" ht="21.75" customHeight="1">
      <c r="A6" s="28" t="s">
        <v>768</v>
      </c>
      <c r="B6" s="28" t="s">
        <v>122</v>
      </c>
      <c r="C6" s="28" t="s">
        <v>762</v>
      </c>
      <c r="D6" s="28">
        <v>5.0</v>
      </c>
      <c r="E6" s="29">
        <f>5*6860</f>
        <v>34300</v>
      </c>
      <c r="F6" s="29">
        <v>25500.0</v>
      </c>
      <c r="G6" s="30">
        <v>65000.0</v>
      </c>
      <c r="H6" s="29">
        <f t="shared" si="1"/>
        <v>15750</v>
      </c>
      <c r="I6" s="29">
        <v>16000.0</v>
      </c>
      <c r="J6" s="31">
        <v>80000.0</v>
      </c>
      <c r="K6" s="29">
        <f t="shared" si="2"/>
        <v>17700</v>
      </c>
      <c r="L6" s="29"/>
    </row>
    <row r="7" ht="21.75" customHeight="1">
      <c r="A7" s="28" t="s">
        <v>768</v>
      </c>
      <c r="B7" s="28" t="s">
        <v>148</v>
      </c>
      <c r="C7" s="28" t="s">
        <v>764</v>
      </c>
      <c r="D7" s="28">
        <v>7.0</v>
      </c>
      <c r="E7" s="29">
        <f>7*6860</f>
        <v>48020</v>
      </c>
      <c r="F7" s="29">
        <v>49000.0</v>
      </c>
      <c r="G7" s="30">
        <v>105000.0</v>
      </c>
      <c r="H7" s="29">
        <f t="shared" si="1"/>
        <v>23700</v>
      </c>
      <c r="I7" s="29">
        <v>25000.0</v>
      </c>
      <c r="J7" s="31">
        <v>118000.0</v>
      </c>
      <c r="K7" s="29">
        <f t="shared" si="2"/>
        <v>25800</v>
      </c>
      <c r="L7" s="29" t="s">
        <v>769</v>
      </c>
    </row>
    <row r="8" ht="21.75" customHeight="1">
      <c r="A8" s="28" t="s">
        <v>768</v>
      </c>
      <c r="B8" s="28" t="s">
        <v>170</v>
      </c>
      <c r="C8" s="28" t="s">
        <v>766</v>
      </c>
      <c r="D8" s="28">
        <v>10.0</v>
      </c>
      <c r="E8" s="29">
        <f>10*6860</f>
        <v>68600</v>
      </c>
      <c r="F8" s="29">
        <v>79500.0</v>
      </c>
      <c r="G8" s="30">
        <v>158000.0</v>
      </c>
      <c r="H8" s="29">
        <f t="shared" si="1"/>
        <v>11250</v>
      </c>
      <c r="I8" s="29">
        <v>42000.0</v>
      </c>
      <c r="J8" s="31">
        <v>172000.0</v>
      </c>
      <c r="K8" s="29">
        <f t="shared" si="2"/>
        <v>13200</v>
      </c>
      <c r="L8" s="29" t="s">
        <v>770</v>
      </c>
    </row>
    <row r="9" ht="21.75" customHeight="1">
      <c r="A9" s="32" t="s">
        <v>194</v>
      </c>
      <c r="B9" s="32" t="s">
        <v>191</v>
      </c>
      <c r="C9" s="32" t="s">
        <v>762</v>
      </c>
      <c r="D9" s="32">
        <v>5.0</v>
      </c>
      <c r="E9" s="33">
        <f>5*6860</f>
        <v>34300</v>
      </c>
      <c r="F9" s="33">
        <v>34800.0</v>
      </c>
      <c r="G9" s="34">
        <v>75000.0</v>
      </c>
      <c r="H9" s="33">
        <f t="shared" si="1"/>
        <v>17250</v>
      </c>
      <c r="I9" s="33">
        <v>20000.0</v>
      </c>
      <c r="J9" s="35">
        <v>88000.0</v>
      </c>
      <c r="K9" s="33">
        <f t="shared" si="2"/>
        <v>19200</v>
      </c>
      <c r="L9" s="33" t="s">
        <v>771</v>
      </c>
    </row>
    <row r="10" ht="21.75" customHeight="1">
      <c r="A10" s="32" t="s">
        <v>194</v>
      </c>
      <c r="B10" s="32" t="s">
        <v>218</v>
      </c>
      <c r="C10" s="32" t="s">
        <v>764</v>
      </c>
      <c r="D10" s="32">
        <v>7.0</v>
      </c>
      <c r="E10" s="33">
        <f>7*6860</f>
        <v>48020</v>
      </c>
      <c r="F10" s="33">
        <v>56800.0</v>
      </c>
      <c r="G10" s="34">
        <v>115000.0</v>
      </c>
      <c r="H10" s="33">
        <f t="shared" si="1"/>
        <v>29700</v>
      </c>
      <c r="I10" s="33">
        <v>33000.0</v>
      </c>
      <c r="J10" s="35">
        <v>128000.0</v>
      </c>
      <c r="K10" s="33">
        <f t="shared" si="2"/>
        <v>32250</v>
      </c>
      <c r="L10" s="33" t="s">
        <v>772</v>
      </c>
    </row>
    <row r="11" ht="21.75" customHeight="1">
      <c r="A11" s="32" t="s">
        <v>194</v>
      </c>
      <c r="B11" s="32" t="s">
        <v>240</v>
      </c>
      <c r="C11" s="32" t="s">
        <v>766</v>
      </c>
      <c r="D11" s="32">
        <v>10.0</v>
      </c>
      <c r="E11" s="33">
        <f>10*6860</f>
        <v>68600</v>
      </c>
      <c r="F11" s="33">
        <v>118398.0</v>
      </c>
      <c r="G11" s="34">
        <v>198000.0</v>
      </c>
      <c r="H11" s="33">
        <f t="shared" si="1"/>
        <v>9300</v>
      </c>
      <c r="I11" s="33">
        <v>78000.0</v>
      </c>
      <c r="J11" s="35">
        <v>215000.0</v>
      </c>
      <c r="K11" s="33">
        <f t="shared" si="2"/>
        <v>11250</v>
      </c>
      <c r="L11" s="33" t="s">
        <v>773</v>
      </c>
    </row>
    <row r="12" ht="21.75" customHeight="1">
      <c r="A12" s="36" t="s">
        <v>774</v>
      </c>
      <c r="B12" s="36" t="s">
        <v>263</v>
      </c>
      <c r="C12" s="36" t="s">
        <v>762</v>
      </c>
      <c r="D12" s="36">
        <v>5.0</v>
      </c>
      <c r="E12" s="37">
        <f>5*6860</f>
        <v>34300</v>
      </c>
      <c r="F12" s="37">
        <v>22400.0</v>
      </c>
      <c r="G12" s="38">
        <v>62000.0</v>
      </c>
      <c r="H12" s="37">
        <f t="shared" si="1"/>
        <v>14850</v>
      </c>
      <c r="I12" s="37">
        <v>9000.0</v>
      </c>
      <c r="J12" s="39">
        <v>75000.0</v>
      </c>
      <c r="K12" s="37">
        <f t="shared" si="2"/>
        <v>16800</v>
      </c>
      <c r="L12" s="37"/>
    </row>
    <row r="13" ht="21.75" customHeight="1">
      <c r="A13" s="36" t="s">
        <v>774</v>
      </c>
      <c r="B13" s="36" t="s">
        <v>287</v>
      </c>
      <c r="C13" s="36" t="s">
        <v>764</v>
      </c>
      <c r="D13" s="36">
        <v>7.0</v>
      </c>
      <c r="E13" s="37">
        <f>7*6860</f>
        <v>48020</v>
      </c>
      <c r="F13" s="37">
        <v>41700.0</v>
      </c>
      <c r="G13" s="38">
        <v>99000.0</v>
      </c>
      <c r="H13" s="37">
        <f t="shared" si="1"/>
        <v>22200</v>
      </c>
      <c r="I13" s="37">
        <v>18000.0</v>
      </c>
      <c r="J13" s="39">
        <v>112000.0</v>
      </c>
      <c r="K13" s="37">
        <f t="shared" si="2"/>
        <v>24300</v>
      </c>
      <c r="L13" s="37" t="s">
        <v>772</v>
      </c>
    </row>
    <row r="14" ht="21.75" customHeight="1">
      <c r="A14" s="36" t="s">
        <v>774</v>
      </c>
      <c r="B14" s="36" t="s">
        <v>309</v>
      </c>
      <c r="C14" s="36" t="s">
        <v>766</v>
      </c>
      <c r="D14" s="36">
        <v>10.0</v>
      </c>
      <c r="E14" s="37">
        <f>10*6860</f>
        <v>68600</v>
      </c>
      <c r="F14" s="37">
        <v>68350.0</v>
      </c>
      <c r="G14" s="38">
        <v>148000.0</v>
      </c>
      <c r="H14" s="37">
        <f t="shared" si="1"/>
        <v>9750</v>
      </c>
      <c r="I14" s="37">
        <v>31000.0</v>
      </c>
      <c r="J14" s="39">
        <v>162000.0</v>
      </c>
      <c r="K14" s="37">
        <f t="shared" si="2"/>
        <v>12300</v>
      </c>
      <c r="L14" s="37" t="s">
        <v>775</v>
      </c>
    </row>
    <row r="15" ht="21.75" customHeight="1">
      <c r="A15" s="40" t="s">
        <v>333</v>
      </c>
      <c r="B15" s="40" t="s">
        <v>330</v>
      </c>
      <c r="C15" s="40" t="s">
        <v>762</v>
      </c>
      <c r="D15" s="40">
        <v>5.0</v>
      </c>
      <c r="E15" s="41">
        <f>5*6860</f>
        <v>34300</v>
      </c>
      <c r="F15" s="41">
        <v>23900.0</v>
      </c>
      <c r="G15" s="42">
        <v>65000.0</v>
      </c>
      <c r="H15" s="41">
        <f t="shared" si="1"/>
        <v>15300</v>
      </c>
      <c r="I15" s="41">
        <v>14000.0</v>
      </c>
      <c r="J15" s="43">
        <v>82000.0</v>
      </c>
      <c r="K15" s="41">
        <f t="shared" si="2"/>
        <v>17700</v>
      </c>
      <c r="L15" s="41" t="s">
        <v>776</v>
      </c>
    </row>
    <row r="16" ht="21.75" customHeight="1">
      <c r="A16" s="40" t="s">
        <v>333</v>
      </c>
      <c r="B16" s="40" t="s">
        <v>356</v>
      </c>
      <c r="C16" s="40" t="s">
        <v>764</v>
      </c>
      <c r="D16" s="40">
        <v>7.0</v>
      </c>
      <c r="E16" s="41">
        <f>7*6860</f>
        <v>48020</v>
      </c>
      <c r="F16" s="41">
        <v>44200.0</v>
      </c>
      <c r="G16" s="42">
        <v>102000.0</v>
      </c>
      <c r="H16" s="41">
        <f t="shared" si="1"/>
        <v>25800</v>
      </c>
      <c r="I16" s="41">
        <v>24000.0</v>
      </c>
      <c r="J16" s="43">
        <v>118000.0</v>
      </c>
      <c r="K16" s="41">
        <f t="shared" si="2"/>
        <v>27750</v>
      </c>
      <c r="L16" s="41" t="s">
        <v>777</v>
      </c>
    </row>
    <row r="17" ht="21.75" customHeight="1">
      <c r="A17" s="40" t="s">
        <v>333</v>
      </c>
      <c r="B17" s="40" t="s">
        <v>376</v>
      </c>
      <c r="C17" s="40" t="s">
        <v>766</v>
      </c>
      <c r="D17" s="40">
        <v>10.0</v>
      </c>
      <c r="E17" s="41">
        <f>10*6860</f>
        <v>68600</v>
      </c>
      <c r="F17" s="41">
        <v>90400.0</v>
      </c>
      <c r="G17" s="42">
        <v>172000.0</v>
      </c>
      <c r="H17" s="41">
        <f t="shared" si="1"/>
        <v>0</v>
      </c>
      <c r="I17" s="41">
        <v>48000.0</v>
      </c>
      <c r="J17" s="43">
        <v>185000.0</v>
      </c>
      <c r="K17" s="41">
        <f t="shared" si="2"/>
        <v>0</v>
      </c>
      <c r="L17" s="41" t="s">
        <v>778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L1"/>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8.0"/>
    <col customWidth="1" min="2" max="2" width="30.0"/>
    <col customWidth="1" min="3" max="3" width="25.0"/>
    <col customWidth="1" min="4" max="4" width="45.0"/>
    <col customWidth="1" min="5" max="5" width="14.0"/>
    <col customWidth="1" min="6" max="26" width="8.71"/>
  </cols>
  <sheetData>
    <row r="1" ht="21.75" customHeight="1">
      <c r="A1" s="1" t="s">
        <v>779</v>
      </c>
      <c r="B1" s="2"/>
      <c r="C1" s="2"/>
      <c r="D1" s="2"/>
      <c r="E1" s="3"/>
    </row>
    <row r="2" ht="25.5" customHeight="1">
      <c r="A2" s="44" t="s">
        <v>780</v>
      </c>
      <c r="B2" s="44" t="s">
        <v>781</v>
      </c>
      <c r="C2" s="44" t="s">
        <v>782</v>
      </c>
      <c r="D2" s="44" t="s">
        <v>502</v>
      </c>
      <c r="E2" s="44" t="s">
        <v>783</v>
      </c>
    </row>
    <row r="3" ht="18.0" customHeight="1">
      <c r="A3" s="45" t="s">
        <v>784</v>
      </c>
      <c r="B3" s="13" t="s">
        <v>1</v>
      </c>
      <c r="C3" s="13" t="s">
        <v>785</v>
      </c>
      <c r="D3" s="13" t="s">
        <v>786</v>
      </c>
      <c r="E3" s="13" t="s">
        <v>787</v>
      </c>
    </row>
    <row r="4" ht="18.0" customHeight="1">
      <c r="A4" s="46" t="s">
        <v>784</v>
      </c>
      <c r="B4" s="47" t="s">
        <v>2</v>
      </c>
      <c r="C4" s="47" t="s">
        <v>788</v>
      </c>
      <c r="D4" s="47" t="s">
        <v>789</v>
      </c>
      <c r="E4" s="47" t="s">
        <v>787</v>
      </c>
    </row>
    <row r="5" ht="18.0" customHeight="1">
      <c r="A5" s="45" t="s">
        <v>784</v>
      </c>
      <c r="B5" s="13" t="s">
        <v>3</v>
      </c>
      <c r="C5" s="13" t="s">
        <v>790</v>
      </c>
      <c r="D5" s="13" t="s">
        <v>791</v>
      </c>
      <c r="E5" s="13" t="s">
        <v>787</v>
      </c>
    </row>
    <row r="6" ht="18.0" customHeight="1">
      <c r="A6" s="46" t="s">
        <v>784</v>
      </c>
      <c r="B6" s="47" t="s">
        <v>4</v>
      </c>
      <c r="C6" s="47" t="s">
        <v>790</v>
      </c>
      <c r="D6" s="47" t="s">
        <v>792</v>
      </c>
      <c r="E6" s="47" t="s">
        <v>787</v>
      </c>
    </row>
    <row r="7" ht="18.0" customHeight="1">
      <c r="A7" s="45" t="s">
        <v>784</v>
      </c>
      <c r="B7" s="13" t="s">
        <v>5</v>
      </c>
      <c r="C7" s="13" t="s">
        <v>790</v>
      </c>
      <c r="D7" s="13" t="s">
        <v>793</v>
      </c>
      <c r="E7" s="13" t="s">
        <v>787</v>
      </c>
    </row>
    <row r="8" ht="18.0" customHeight="1">
      <c r="A8" s="46" t="s">
        <v>784</v>
      </c>
      <c r="B8" s="47" t="s">
        <v>6</v>
      </c>
      <c r="C8" s="47" t="s">
        <v>790</v>
      </c>
      <c r="D8" s="47" t="s">
        <v>794</v>
      </c>
      <c r="E8" s="47" t="s">
        <v>787</v>
      </c>
    </row>
    <row r="9" ht="18.0" customHeight="1">
      <c r="A9" s="45" t="s">
        <v>784</v>
      </c>
      <c r="B9" s="13" t="s">
        <v>7</v>
      </c>
      <c r="C9" s="13" t="s">
        <v>790</v>
      </c>
      <c r="D9" s="13" t="s">
        <v>795</v>
      </c>
      <c r="E9" s="13" t="s">
        <v>787</v>
      </c>
    </row>
    <row r="10" ht="18.0" customHeight="1">
      <c r="A10" s="46" t="s">
        <v>784</v>
      </c>
      <c r="B10" s="47" t="s">
        <v>8</v>
      </c>
      <c r="C10" s="47" t="s">
        <v>796</v>
      </c>
      <c r="D10" s="47"/>
      <c r="E10" s="47" t="s">
        <v>787</v>
      </c>
    </row>
    <row r="11" ht="18.0" customHeight="1">
      <c r="A11" s="45" t="s">
        <v>784</v>
      </c>
      <c r="B11" s="13" t="s">
        <v>9</v>
      </c>
      <c r="C11" s="13" t="s">
        <v>796</v>
      </c>
      <c r="D11" s="13"/>
      <c r="E11" s="13" t="s">
        <v>787</v>
      </c>
    </row>
    <row r="12" ht="18.0" customHeight="1">
      <c r="A12" s="46" t="s">
        <v>784</v>
      </c>
      <c r="B12" s="47" t="s">
        <v>10</v>
      </c>
      <c r="C12" s="47" t="s">
        <v>790</v>
      </c>
      <c r="D12" s="47" t="s">
        <v>797</v>
      </c>
      <c r="E12" s="47" t="s">
        <v>787</v>
      </c>
    </row>
    <row r="13" ht="18.0" customHeight="1">
      <c r="A13" s="45" t="s">
        <v>784</v>
      </c>
      <c r="B13" s="13" t="s">
        <v>11</v>
      </c>
      <c r="C13" s="13" t="s">
        <v>790</v>
      </c>
      <c r="D13" s="13"/>
      <c r="E13" s="13" t="s">
        <v>787</v>
      </c>
    </row>
    <row r="14" ht="18.0" customHeight="1">
      <c r="A14" s="46" t="s">
        <v>784</v>
      </c>
      <c r="B14" s="47" t="s">
        <v>13</v>
      </c>
      <c r="C14" s="47" t="s">
        <v>790</v>
      </c>
      <c r="D14" s="47" t="s">
        <v>798</v>
      </c>
      <c r="E14" s="47" t="s">
        <v>787</v>
      </c>
    </row>
    <row r="15" ht="18.0" customHeight="1">
      <c r="A15" s="45" t="s">
        <v>784</v>
      </c>
      <c r="B15" s="13" t="s">
        <v>14</v>
      </c>
      <c r="C15" s="13" t="s">
        <v>790</v>
      </c>
      <c r="D15" s="13" t="s">
        <v>799</v>
      </c>
      <c r="E15" s="13" t="s">
        <v>787</v>
      </c>
    </row>
    <row r="16" ht="18.0" customHeight="1">
      <c r="A16" s="46" t="s">
        <v>784</v>
      </c>
      <c r="B16" s="47" t="s">
        <v>16</v>
      </c>
      <c r="C16" s="47" t="s">
        <v>790</v>
      </c>
      <c r="D16" s="47" t="s">
        <v>800</v>
      </c>
      <c r="E16" s="47" t="s">
        <v>787</v>
      </c>
    </row>
    <row r="17" ht="18.0" customHeight="1">
      <c r="A17" s="45" t="s">
        <v>784</v>
      </c>
      <c r="B17" s="13" t="s">
        <v>18</v>
      </c>
      <c r="C17" s="13" t="s">
        <v>790</v>
      </c>
      <c r="D17" s="13" t="s">
        <v>801</v>
      </c>
      <c r="E17" s="13" t="s">
        <v>787</v>
      </c>
    </row>
    <row r="18" ht="18.0" customHeight="1">
      <c r="A18" s="46" t="s">
        <v>784</v>
      </c>
      <c r="B18" s="47" t="s">
        <v>20</v>
      </c>
      <c r="C18" s="47" t="s">
        <v>790</v>
      </c>
      <c r="D18" s="47" t="s">
        <v>802</v>
      </c>
      <c r="E18" s="47" t="s">
        <v>787</v>
      </c>
    </row>
    <row r="19" ht="18.0" customHeight="1">
      <c r="A19" s="45" t="s">
        <v>784</v>
      </c>
      <c r="B19" s="13" t="s">
        <v>21</v>
      </c>
      <c r="C19" s="13" t="s">
        <v>790</v>
      </c>
      <c r="D19" s="13" t="s">
        <v>803</v>
      </c>
      <c r="E19" s="13" t="s">
        <v>787</v>
      </c>
    </row>
    <row r="20" ht="18.0" customHeight="1">
      <c r="A20" s="46" t="s">
        <v>784</v>
      </c>
      <c r="B20" s="47" t="s">
        <v>22</v>
      </c>
      <c r="C20" s="47" t="s">
        <v>790</v>
      </c>
      <c r="D20" s="47"/>
      <c r="E20" s="47" t="s">
        <v>787</v>
      </c>
    </row>
    <row r="21" ht="18.0" customHeight="1">
      <c r="A21" s="45" t="s">
        <v>784</v>
      </c>
      <c r="B21" s="13" t="s">
        <v>23</v>
      </c>
      <c r="C21" s="13" t="s">
        <v>796</v>
      </c>
      <c r="D21" s="13" t="s">
        <v>804</v>
      </c>
      <c r="E21" s="13" t="s">
        <v>787</v>
      </c>
    </row>
    <row r="22" ht="18.0" customHeight="1">
      <c r="A22" s="46" t="s">
        <v>784</v>
      </c>
      <c r="B22" s="47" t="s">
        <v>24</v>
      </c>
      <c r="C22" s="47" t="s">
        <v>796</v>
      </c>
      <c r="D22" s="47" t="s">
        <v>805</v>
      </c>
      <c r="E22" s="47" t="s">
        <v>787</v>
      </c>
    </row>
    <row r="23" ht="18.0" customHeight="1">
      <c r="A23" s="45" t="s">
        <v>784</v>
      </c>
      <c r="B23" s="13" t="s">
        <v>25</v>
      </c>
      <c r="C23" s="13" t="s">
        <v>796</v>
      </c>
      <c r="D23" s="13" t="s">
        <v>806</v>
      </c>
      <c r="E23" s="13" t="s">
        <v>787</v>
      </c>
    </row>
    <row r="24" ht="18.0" customHeight="1">
      <c r="A24" s="46" t="s">
        <v>784</v>
      </c>
      <c r="B24" s="47" t="s">
        <v>26</v>
      </c>
      <c r="C24" s="47" t="s">
        <v>796</v>
      </c>
      <c r="D24" s="47" t="s">
        <v>806</v>
      </c>
      <c r="E24" s="47" t="s">
        <v>787</v>
      </c>
    </row>
    <row r="25" ht="18.0" customHeight="1">
      <c r="A25" s="45" t="s">
        <v>784</v>
      </c>
      <c r="B25" s="13" t="s">
        <v>29</v>
      </c>
      <c r="C25" s="13" t="s">
        <v>796</v>
      </c>
      <c r="D25" s="13" t="s">
        <v>807</v>
      </c>
      <c r="E25" s="13" t="s">
        <v>787</v>
      </c>
    </row>
    <row r="26" ht="18.0" customHeight="1">
      <c r="A26" s="46" t="s">
        <v>784</v>
      </c>
      <c r="B26" s="47" t="s">
        <v>30</v>
      </c>
      <c r="C26" s="47" t="s">
        <v>796</v>
      </c>
      <c r="D26" s="47" t="s">
        <v>808</v>
      </c>
      <c r="E26" s="47" t="s">
        <v>787</v>
      </c>
    </row>
    <row r="27" ht="18.0" customHeight="1">
      <c r="A27" s="45" t="s">
        <v>784</v>
      </c>
      <c r="B27" s="13" t="s">
        <v>32</v>
      </c>
      <c r="C27" s="13" t="s">
        <v>796</v>
      </c>
      <c r="D27" s="13" t="s">
        <v>809</v>
      </c>
      <c r="E27" s="13" t="s">
        <v>787</v>
      </c>
    </row>
    <row r="28" ht="18.0" customHeight="1">
      <c r="A28" s="46" t="s">
        <v>784</v>
      </c>
      <c r="B28" s="47" t="s">
        <v>33</v>
      </c>
      <c r="C28" s="47" t="s">
        <v>796</v>
      </c>
      <c r="D28" s="47" t="s">
        <v>810</v>
      </c>
      <c r="E28" s="47" t="s">
        <v>787</v>
      </c>
    </row>
    <row r="29" ht="18.0" customHeight="1">
      <c r="A29" s="45" t="s">
        <v>784</v>
      </c>
      <c r="B29" s="13" t="s">
        <v>34</v>
      </c>
      <c r="C29" s="13" t="s">
        <v>796</v>
      </c>
      <c r="D29" s="13" t="s">
        <v>811</v>
      </c>
      <c r="E29" s="13" t="s">
        <v>787</v>
      </c>
    </row>
    <row r="30" ht="18.0" customHeight="1">
      <c r="A30" s="46" t="s">
        <v>784</v>
      </c>
      <c r="B30" s="47" t="s">
        <v>36</v>
      </c>
      <c r="C30" s="47" t="s">
        <v>790</v>
      </c>
      <c r="D30" s="47" t="s">
        <v>812</v>
      </c>
      <c r="E30" s="47" t="s">
        <v>787</v>
      </c>
    </row>
    <row r="31" ht="18.0" customHeight="1">
      <c r="A31" s="45" t="s">
        <v>784</v>
      </c>
      <c r="B31" s="13" t="s">
        <v>37</v>
      </c>
      <c r="C31" s="13" t="s">
        <v>790</v>
      </c>
      <c r="D31" s="13"/>
      <c r="E31" s="13" t="s">
        <v>787</v>
      </c>
    </row>
    <row r="32" ht="18.0" customHeight="1">
      <c r="A32" s="46" t="s">
        <v>784</v>
      </c>
      <c r="B32" s="47" t="s">
        <v>38</v>
      </c>
      <c r="C32" s="47" t="s">
        <v>790</v>
      </c>
      <c r="D32" s="47"/>
      <c r="E32" s="47" t="s">
        <v>787</v>
      </c>
    </row>
    <row r="33" ht="18.0" customHeight="1">
      <c r="A33" s="45" t="s">
        <v>784</v>
      </c>
      <c r="B33" s="13" t="s">
        <v>39</v>
      </c>
      <c r="C33" s="13" t="s">
        <v>790</v>
      </c>
      <c r="D33" s="13" t="s">
        <v>813</v>
      </c>
      <c r="E33" s="13" t="s">
        <v>787</v>
      </c>
    </row>
    <row r="34" ht="18.0" customHeight="1">
      <c r="A34" s="46" t="s">
        <v>784</v>
      </c>
      <c r="B34" s="47" t="s">
        <v>40</v>
      </c>
      <c r="C34" s="47" t="s">
        <v>790</v>
      </c>
      <c r="D34" s="47" t="s">
        <v>814</v>
      </c>
      <c r="E34" s="47" t="s">
        <v>787</v>
      </c>
    </row>
    <row r="35" ht="18.0" customHeight="1">
      <c r="A35" s="45" t="s">
        <v>784</v>
      </c>
      <c r="B35" s="13" t="s">
        <v>41</v>
      </c>
      <c r="C35" s="13" t="s">
        <v>790</v>
      </c>
      <c r="D35" s="13" t="s">
        <v>815</v>
      </c>
      <c r="E35" s="13" t="s">
        <v>787</v>
      </c>
    </row>
    <row r="36" ht="18.0" customHeight="1">
      <c r="A36" s="46" t="s">
        <v>784</v>
      </c>
      <c r="B36" s="47" t="s">
        <v>42</v>
      </c>
      <c r="C36" s="47" t="s">
        <v>790</v>
      </c>
      <c r="D36" s="47" t="s">
        <v>816</v>
      </c>
      <c r="E36" s="47" t="s">
        <v>787</v>
      </c>
    </row>
    <row r="37" ht="18.0" customHeight="1">
      <c r="A37" s="45" t="s">
        <v>784</v>
      </c>
      <c r="B37" s="13" t="s">
        <v>43</v>
      </c>
      <c r="C37" s="13" t="s">
        <v>790</v>
      </c>
      <c r="D37" s="13" t="s">
        <v>817</v>
      </c>
      <c r="E37" s="13" t="s">
        <v>787</v>
      </c>
    </row>
    <row r="38" ht="18.0" customHeight="1">
      <c r="A38" s="46" t="s">
        <v>784</v>
      </c>
      <c r="B38" s="47" t="s">
        <v>44</v>
      </c>
      <c r="C38" s="47" t="s">
        <v>790</v>
      </c>
      <c r="D38" s="47" t="s">
        <v>818</v>
      </c>
      <c r="E38" s="47" t="s">
        <v>787</v>
      </c>
    </row>
    <row r="39" ht="18.0" customHeight="1">
      <c r="A39" s="45" t="s">
        <v>784</v>
      </c>
      <c r="B39" s="13" t="s">
        <v>45</v>
      </c>
      <c r="C39" s="13" t="s">
        <v>796</v>
      </c>
      <c r="D39" s="13" t="s">
        <v>819</v>
      </c>
      <c r="E39" s="13" t="s">
        <v>787</v>
      </c>
    </row>
    <row r="40" ht="18.0" customHeight="1">
      <c r="A40" s="13"/>
      <c r="B40" s="13"/>
      <c r="C40" s="13"/>
      <c r="D40" s="13"/>
      <c r="E40" s="13"/>
    </row>
    <row r="41" ht="18.0" customHeight="1">
      <c r="A41" s="45" t="s">
        <v>820</v>
      </c>
      <c r="B41" s="13" t="s">
        <v>399</v>
      </c>
      <c r="C41" s="13" t="s">
        <v>785</v>
      </c>
      <c r="D41" s="13" t="s">
        <v>821</v>
      </c>
      <c r="E41" s="13" t="s">
        <v>822</v>
      </c>
    </row>
    <row r="42" ht="18.0" customHeight="1">
      <c r="A42" s="46" t="s">
        <v>820</v>
      </c>
      <c r="B42" s="47" t="s">
        <v>400</v>
      </c>
      <c r="C42" s="47" t="s">
        <v>788</v>
      </c>
      <c r="D42" s="47"/>
      <c r="E42" s="47" t="s">
        <v>822</v>
      </c>
    </row>
    <row r="43" ht="18.0" customHeight="1">
      <c r="A43" s="45" t="s">
        <v>820</v>
      </c>
      <c r="B43" s="13" t="s">
        <v>401</v>
      </c>
      <c r="C43" s="13" t="s">
        <v>796</v>
      </c>
      <c r="D43" s="13"/>
      <c r="E43" s="13" t="s">
        <v>822</v>
      </c>
    </row>
    <row r="44" ht="18.0" customHeight="1">
      <c r="A44" s="46" t="s">
        <v>820</v>
      </c>
      <c r="B44" s="47" t="s">
        <v>402</v>
      </c>
      <c r="C44" s="47" t="s">
        <v>790</v>
      </c>
      <c r="D44" s="47" t="s">
        <v>823</v>
      </c>
      <c r="E44" s="47" t="s">
        <v>822</v>
      </c>
    </row>
    <row r="45" ht="18.0" customHeight="1">
      <c r="A45" s="45" t="s">
        <v>820</v>
      </c>
      <c r="B45" s="13" t="s">
        <v>403</v>
      </c>
      <c r="C45" s="13" t="s">
        <v>790</v>
      </c>
      <c r="D45" s="13"/>
      <c r="E45" s="13" t="s">
        <v>822</v>
      </c>
    </row>
    <row r="46" ht="18.0" customHeight="1">
      <c r="A46" s="13"/>
      <c r="B46" s="13"/>
      <c r="C46" s="13"/>
      <c r="D46" s="13"/>
      <c r="E46" s="13"/>
    </row>
    <row r="47" ht="18.0" customHeight="1">
      <c r="A47" s="45" t="s">
        <v>824</v>
      </c>
      <c r="B47" s="13" t="s">
        <v>425</v>
      </c>
      <c r="C47" s="13" t="s">
        <v>785</v>
      </c>
      <c r="D47" s="13" t="s">
        <v>825</v>
      </c>
      <c r="E47" s="13" t="s">
        <v>826</v>
      </c>
    </row>
    <row r="48" ht="18.0" customHeight="1">
      <c r="A48" s="46" t="s">
        <v>824</v>
      </c>
      <c r="B48" s="47" t="s">
        <v>426</v>
      </c>
      <c r="C48" s="47" t="s">
        <v>788</v>
      </c>
      <c r="D48" s="47"/>
      <c r="E48" s="47" t="s">
        <v>826</v>
      </c>
    </row>
    <row r="49" ht="18.0" customHeight="1">
      <c r="A49" s="45" t="s">
        <v>824</v>
      </c>
      <c r="B49" s="13" t="s">
        <v>427</v>
      </c>
      <c r="C49" s="13" t="s">
        <v>790</v>
      </c>
      <c r="D49" s="13" t="s">
        <v>827</v>
      </c>
      <c r="E49" s="13" t="s">
        <v>826</v>
      </c>
    </row>
    <row r="50" ht="18.0" customHeight="1">
      <c r="A50" s="46" t="s">
        <v>824</v>
      </c>
      <c r="B50" s="47" t="s">
        <v>401</v>
      </c>
      <c r="C50" s="47" t="s">
        <v>796</v>
      </c>
      <c r="D50" s="47"/>
      <c r="E50" s="47" t="s">
        <v>826</v>
      </c>
    </row>
    <row r="51" ht="18.0" customHeight="1">
      <c r="A51" s="45" t="s">
        <v>824</v>
      </c>
      <c r="B51" s="13" t="s">
        <v>428</v>
      </c>
      <c r="C51" s="13" t="s">
        <v>796</v>
      </c>
      <c r="D51" s="13" t="s">
        <v>828</v>
      </c>
      <c r="E51" s="13" t="s">
        <v>826</v>
      </c>
    </row>
    <row r="52" ht="18.0" customHeight="1">
      <c r="A52" s="46" t="s">
        <v>824</v>
      </c>
      <c r="B52" s="47" t="s">
        <v>429</v>
      </c>
      <c r="C52" s="47" t="s">
        <v>796</v>
      </c>
      <c r="D52" s="47" t="s">
        <v>829</v>
      </c>
      <c r="E52" s="47" t="s">
        <v>826</v>
      </c>
    </row>
    <row r="53" ht="18.0" customHeight="1">
      <c r="A53" s="45" t="s">
        <v>824</v>
      </c>
      <c r="B53" s="13" t="s">
        <v>430</v>
      </c>
      <c r="C53" s="13" t="s">
        <v>790</v>
      </c>
      <c r="D53" s="13"/>
      <c r="E53" s="13" t="s">
        <v>826</v>
      </c>
    </row>
    <row r="54" ht="18.0" customHeight="1">
      <c r="A54" s="46" t="s">
        <v>824</v>
      </c>
      <c r="B54" s="47" t="s">
        <v>432</v>
      </c>
      <c r="C54" s="47" t="s">
        <v>790</v>
      </c>
      <c r="D54" s="47"/>
      <c r="E54" s="47" t="s">
        <v>826</v>
      </c>
    </row>
    <row r="55" ht="18.0" customHeight="1">
      <c r="A55" s="45" t="s">
        <v>824</v>
      </c>
      <c r="B55" s="13" t="s">
        <v>433</v>
      </c>
      <c r="C55" s="13" t="s">
        <v>790</v>
      </c>
      <c r="D55" s="13"/>
      <c r="E55" s="13" t="s">
        <v>826</v>
      </c>
    </row>
    <row r="56" ht="18.0" customHeight="1">
      <c r="A56" s="13"/>
      <c r="B56" s="13"/>
      <c r="C56" s="13"/>
      <c r="D56" s="13"/>
      <c r="E56" s="13"/>
    </row>
    <row r="57" ht="18.0" customHeight="1">
      <c r="A57" s="45" t="s">
        <v>830</v>
      </c>
      <c r="B57" s="13" t="s">
        <v>493</v>
      </c>
      <c r="C57" s="13" t="s">
        <v>785</v>
      </c>
      <c r="D57" s="13" t="s">
        <v>831</v>
      </c>
      <c r="E57" s="13" t="s">
        <v>832</v>
      </c>
    </row>
    <row r="58" ht="18.0" customHeight="1">
      <c r="A58" s="46" t="s">
        <v>830</v>
      </c>
      <c r="B58" s="47" t="s">
        <v>6</v>
      </c>
      <c r="C58" s="47" t="s">
        <v>790</v>
      </c>
      <c r="D58" s="47" t="s">
        <v>833</v>
      </c>
      <c r="E58" s="47" t="s">
        <v>832</v>
      </c>
    </row>
    <row r="59" ht="18.0" customHeight="1">
      <c r="A59" s="45" t="s">
        <v>830</v>
      </c>
      <c r="B59" s="13" t="s">
        <v>494</v>
      </c>
      <c r="C59" s="13" t="s">
        <v>788</v>
      </c>
      <c r="D59" s="13"/>
      <c r="E59" s="13" t="s">
        <v>832</v>
      </c>
    </row>
    <row r="60" ht="18.0" customHeight="1">
      <c r="A60" s="46" t="s">
        <v>830</v>
      </c>
      <c r="B60" s="47" t="s">
        <v>495</v>
      </c>
      <c r="C60" s="47" t="s">
        <v>790</v>
      </c>
      <c r="D60" s="47"/>
      <c r="E60" s="47" t="s">
        <v>832</v>
      </c>
    </row>
    <row r="61" ht="18.0" customHeight="1">
      <c r="A61" s="45" t="s">
        <v>830</v>
      </c>
      <c r="B61" s="13" t="s">
        <v>496</v>
      </c>
      <c r="C61" s="13" t="s">
        <v>790</v>
      </c>
      <c r="D61" s="13"/>
      <c r="E61" s="13" t="s">
        <v>832</v>
      </c>
    </row>
    <row r="62" ht="18.0" customHeight="1">
      <c r="A62" s="46" t="s">
        <v>830</v>
      </c>
      <c r="B62" s="47" t="s">
        <v>497</v>
      </c>
      <c r="C62" s="47" t="s">
        <v>796</v>
      </c>
      <c r="D62" s="47"/>
      <c r="E62" s="47" t="s">
        <v>832</v>
      </c>
    </row>
    <row r="63" ht="18.0" customHeight="1">
      <c r="A63" s="45" t="s">
        <v>830</v>
      </c>
      <c r="B63" s="13" t="s">
        <v>498</v>
      </c>
      <c r="C63" s="13" t="s">
        <v>796</v>
      </c>
      <c r="D63" s="13" t="s">
        <v>834</v>
      </c>
      <c r="E63" s="13" t="s">
        <v>832</v>
      </c>
    </row>
    <row r="64" ht="18.0" customHeight="1">
      <c r="A64" s="46" t="s">
        <v>830</v>
      </c>
      <c r="B64" s="47" t="s">
        <v>499</v>
      </c>
      <c r="C64" s="47" t="s">
        <v>790</v>
      </c>
      <c r="D64" s="47" t="s">
        <v>835</v>
      </c>
      <c r="E64" s="47" t="s">
        <v>832</v>
      </c>
    </row>
    <row r="65" ht="18.0" customHeight="1">
      <c r="A65" s="45" t="s">
        <v>830</v>
      </c>
      <c r="B65" s="13" t="s">
        <v>500</v>
      </c>
      <c r="C65" s="13" t="s">
        <v>796</v>
      </c>
      <c r="D65" s="13" t="s">
        <v>836</v>
      </c>
      <c r="E65" s="13" t="s">
        <v>832</v>
      </c>
    </row>
    <row r="66" ht="18.0" customHeight="1">
      <c r="A66" s="46" t="s">
        <v>830</v>
      </c>
      <c r="B66" s="47" t="s">
        <v>501</v>
      </c>
      <c r="C66" s="47" t="s">
        <v>790</v>
      </c>
      <c r="D66" s="47" t="s">
        <v>837</v>
      </c>
      <c r="E66" s="47" t="s">
        <v>832</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2026-05-23T13:18:20Z</dcterms:created>
  <dc:creator>openpyxl</dc:creator>
</cp:coreProperties>
</file>